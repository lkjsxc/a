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17747baeb864751" /></Relationships>
</file>

<file path=xl/workbook.xml><?xml version="1.0" encoding="utf-8"?>
<x:workbook xmlns:x="http://schemas.openxmlformats.org/spreadsheetml/2006/main">
  <x:sheets>
    <x:sheet xmlns:r="http://schemas.openxmlformats.org/officeDocument/2006/relationships" name="使い方" sheetId="1" r:id="R4440df7b55814bbc"/>
    <x:sheet xmlns:r="http://schemas.openxmlformats.org/officeDocument/2006/relationships" name="最初の150" sheetId="2" r:id="R6407ed75c1da4705"/>
    <x:sheet xmlns:r="http://schemas.openxmlformats.org/officeDocument/2006/relationships" name="表裏" sheetId="3" r:id="R89f8eab9da0c45e5"/>
    <x:sheet xmlns:r="http://schemas.openxmlformats.org/officeDocument/2006/relationships" name="全カード" sheetId="4" r:id="R2bbeef410647461e"/>
    <x:sheet xmlns:r="http://schemas.openxmlformats.org/officeDocument/2006/relationships" name="集計" sheetId="5" r:id="R8d25ad8479e7496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4">
    <x:font>
      <x:sz val="11"/>
      <x:name val="Carlito"/>
    </x:font>
    <x:font>
      <x:b/>
      <x:sz val="20"/>
      <x:color rgb="FFFFFFFF"/>
      <x:name val="Carlito"/>
    </x:font>
    <x:font>
      <x:b/>
      <x:sz val="11"/>
      <x:color rgb="FFFFFFFF"/>
      <x:name val="Carlito"/>
    </x:font>
    <x:font>
      <x:sz val="10"/>
      <x:color rgb="FF172033"/>
      <x:name val="Carlito"/>
    </x:font>
    <x:font>
      <x:b/>
      <x:sz val="12"/>
      <x:color rgb="FFFFFFFF"/>
      <x:name val="Carlito"/>
    </x:font>
    <x:font>
      <x:b/>
      <x:sz val="11"/>
      <x:color rgb="FF17324D"/>
      <x:name val="Carlito"/>
    </x:font>
    <x:font>
      <x:b/>
      <x:sz val="20"/>
      <x:color rgb="FFFFFFFF"/>
      <x:name val="Noto Sans JP"/>
    </x:font>
    <x:font>
      <x:sz val="11"/>
      <x:name val="Noto Sans JP"/>
    </x:font>
    <x:font>
      <x:b/>
      <x:sz val="11"/>
      <x:color rgb="FFFFFFFF"/>
      <x:name val="Noto Sans JP"/>
    </x:font>
    <x:font>
      <x:sz val="10"/>
      <x:color rgb="FF172033"/>
      <x:name val="Noto Sans JP"/>
    </x:font>
    <x:font>
      <x:b/>
      <x:sz val="12"/>
      <x:color rgb="FFFFFFFF"/>
      <x:name val="Noto Sans JP"/>
    </x:font>
    <x:font>
      <x:b/>
      <x:sz val="11"/>
      <x:color rgb="FF17324D"/>
      <x:name val="Noto Sans JP"/>
    </x:font>
    <x:font>
      <x:b/>
      <x:sz val="10"/>
      <x:color rgb="FF17324D"/>
      <x:name val="Carlito"/>
    </x:font>
    <x:font>
      <x:b/>
      <x:sz val="18"/>
      <x:color rgb="FFFFFFFF"/>
      <x:name val="Carlito"/>
    </x:font>
  </x:fonts>
  <x:fills count="6">
    <x:fill>
      <x:patternFill patternType="none"/>
    </x:fill>
    <x:fill>
      <x:patternFill patternType="gray125"/>
    </x:fill>
    <x:fill>
      <x:patternFill patternType="solid">
        <x:fgColor rgb="FF17324D"/>
      </x:patternFill>
    </x:fill>
    <x:fill>
      <x:patternFill patternType="solid">
        <x:fgColor rgb="FF2563EB"/>
      </x:patternFill>
    </x:fill>
    <x:fill>
      <x:patternFill patternType="solid">
        <x:fgColor rgb="FFEAF2FF"/>
      </x:patternFill>
    </x:fill>
    <x:fill>
      <x:patternFill patternType="solid">
        <x:fgColor rgb="FFF8FAFC"/>
      </x:patternFill>
    </x:fill>
  </x:fills>
  <x:borders count="15">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7DEE7"/>
      </x:bottom>
    </x:border>
    <x:border>
      <x:top style="thin">
        <x:color rgb="FFD7DEE7"/>
      </x:top>
      <x:bottom style="thin">
        <x:color rgb="FFD7DEE7"/>
      </x:bottom>
    </x:border>
    <x:border>
      <x:right style="thin">
        <x:color rgb="FFD7DEE7"/>
      </x:right>
      <x:bottom style="thin">
        <x:color rgb="FFD7DEE7"/>
      </x:bottom>
    </x:border>
    <x:border>
      <x:left style="thin">
        <x:color rgb="FFD7DEE7"/>
      </x:left>
      <x:right style="thin">
        <x:color rgb="FFD7DEE7"/>
      </x:right>
      <x:bottom style="thin">
        <x:color rgb="FFD7DEE7"/>
      </x:bottom>
    </x:border>
    <x:border>
      <x:left style="thin">
        <x:color rgb="FFD7DEE7"/>
      </x:left>
      <x:bottom style="thin">
        <x:color rgb="FFD7DEE7"/>
      </x:bottom>
    </x:border>
    <x:border>
      <x:right style="thin">
        <x:color rgb="FFD7DEE7"/>
      </x:right>
      <x:top style="thin">
        <x:color rgb="FFD7DEE7"/>
      </x:top>
      <x:bottom style="thin">
        <x:color rgb="FFD7DEE7"/>
      </x:bottom>
    </x:border>
    <x:border>
      <x:left style="thin">
        <x:color rgb="FFD7DEE7"/>
      </x:left>
      <x:right style="thin">
        <x:color rgb="FFD7DEE7"/>
      </x:right>
      <x:top style="thin">
        <x:color rgb="FFD7DEE7"/>
      </x:top>
      <x:bottom style="thin">
        <x:color rgb="FFD7DEE7"/>
      </x:bottom>
    </x:border>
    <x:border>
      <x:left style="thin">
        <x:color rgb="FFD7DEE7"/>
      </x:left>
      <x:top style="thin">
        <x:color rgb="FFD7DEE7"/>
      </x:top>
      <x:bottom style="thin">
        <x:color rgb="FFD7DEE7"/>
      </x:bottom>
    </x:border>
    <x:border>
      <x:right style="thin">
        <x:color rgb="FFD7DEE7"/>
      </x:right>
      <x:top style="thin">
        <x:color rgb="FFD7DEE7"/>
      </x:top>
    </x:border>
    <x:border>
      <x:left style="thin">
        <x:color rgb="FFD7DEE7"/>
      </x:left>
      <x:right style="thin">
        <x:color rgb="FFD7DEE7"/>
      </x:right>
      <x:top style="thin">
        <x:color rgb="FFD7DEE7"/>
      </x:top>
    </x:border>
    <x:border>
      <x:left style="thin">
        <x:color rgb="FFD7DEE7"/>
      </x:left>
      <x:top style="thin">
        <x:color rgb="FFD7DEE7"/>
      </x:top>
    </x:border>
    <x:border>
      <x:top style="thin">
        <x:color rgb="FF17324D"/>
      </x:top>
      <x:bottom style="thin">
        <x:color rgb="FF17324D"/>
      </x:bottom>
    </x:border>
  </x:borders>
  <x:cellStyleXfs count="1">
    <x:xf numFmtId="0" fontId="0" fillId="0" borderId="0"/>
  </x:cellStyleXfs>
  <x:cellXfs count="1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3" fillId="0" borderId="0" xfId="0" applyNumberFormat="1" applyFont="1" applyFill="1" applyBorder="1"/>
    <x:xf numFmtId="0" fontId="3" fillId="0" borderId="3" xfId="0" applyNumberFormat="1" applyFont="1" applyFill="1" applyBorder="1"/>
    <x:xf numFmtId="0" fontId="3" fillId="0" borderId="4" xfId="0" applyNumberFormat="1" applyFont="1" applyFill="1" applyBorder="1"/>
    <x:xf numFmtId="0" fontId="3" fillId="0" borderId="3" xfId="0" applyNumberFormat="1" applyFont="1" applyFill="1" applyBorder="1" applyAlignment="1">
      <x:alignment wrapText="1"/>
    </x:xf>
    <x:xf numFmtId="0" fontId="3" fillId="0" borderId="4" xfId="0" applyNumberFormat="1" applyFont="1" applyFill="1" applyBorder="1" applyAlignment="1">
      <x:alignment wrapText="1"/>
    </x:xf>
    <x:xf numFmtId="0" fontId="3" fillId="0" borderId="3"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13" xfId="0" applyNumberFormat="1" applyFont="1" applyFill="1" applyBorder="1" applyAlignment="1">
      <x:alignment vertical="center" wrapText="1"/>
    </x:xf>
    <x:xf numFmtId="0" fontId="0" fillId="4" borderId="5" xfId="0" applyNumberFormat="1" applyFont="1" applyFill="1" applyBorder="1" applyAlignment="1">
      <x:alignment vertical="center" wrapText="1"/>
    </x:xf>
    <x:xf numFmtId="0" fontId="0" fillId="4" borderId="8" xfId="0" applyNumberFormat="1" applyFont="1" applyFill="1" applyBorder="1" applyAlignment="1">
      <x:alignment vertical="center" wrapText="1"/>
    </x:xf>
    <x:xf numFmtId="0" fontId="0" fillId="4" borderId="11"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5" fillId="4" borderId="11" xfId="0" applyNumberFormat="1" applyFont="1" applyFill="1" applyBorder="1" applyAlignment="1">
      <x:alignment vertical="center" wrapText="1"/>
    </x:xf>
    <x:xf numFmtId="0" fontId="5" fillId="4" borderId="5" xfId="0" applyNumberFormat="1" applyFont="1" applyFill="1" applyBorder="1" applyAlignment="1">
      <x:alignment horizontal="center" vertical="center" wrapText="1"/>
    </x:xf>
    <x:xf numFmtId="0" fontId="5" fillId="4" borderId="8" xfId="0" applyNumberFormat="1" applyFont="1" applyFill="1" applyBorder="1" applyAlignment="1">
      <x:alignment horizontal="center" vertical="center" wrapText="1"/>
    </x:xf>
    <x:xf numFmtId="0" fontId="5" fillId="4" borderId="11" xfId="0" applyNumberFormat="1" applyFont="1" applyFill="1" applyBorder="1" applyAlignment="1">
      <x:alignment horizontal="center" vertical="center" wrapText="1"/>
    </x:xf>
    <x:xf numFmtId="0" fontId="2" fillId="2" borderId="14" xfId="0" applyNumberFormat="1" applyFont="1" applyFill="1" applyBorder="1"/>
    <x:xf numFmtId="0" fontId="2" fillId="2" borderId="14" xfId="0" applyNumberFormat="1" applyFont="1" applyFill="1" applyBorder="1" applyAlignment="1">
      <x:alignment wrapText="1"/>
    </x:xf>
    <x:xf numFmtId="0" fontId="2" fillId="2" borderId="14" xfId="0" applyNumberFormat="1" applyFont="1" applyFill="1" applyBorder="1" applyAlignment="1">
      <x:alignment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6" fillId="2" borderId="0" xfId="0" applyNumberFormat="1" applyFont="1" applyFill="1" applyBorder="1" applyAlignment="1">
      <x:alignment horizontal="left" vertical="center"/>
    </x:xf>
    <x:xf numFmtId="0" fontId="7" fillId="0" borderId="0" xfId="0" applyNumberFormat="1" applyFont="1" applyFill="1" applyBorder="1"/>
    <x:xf numFmtId="0" fontId="8" fillId="2" borderId="1" xfId="0" applyNumberFormat="1" applyFont="1" applyFill="1" applyBorder="1" applyAlignment="1">
      <x:alignment vertical="center" wrapText="1"/>
    </x:xf>
    <x:xf numFmtId="0" fontId="8" fillId="2" borderId="2" xfId="0" applyNumberFormat="1" applyFont="1" applyFill="1" applyBorder="1" applyAlignment="1">
      <x:alignment vertical="center" wrapText="1"/>
    </x:xf>
    <x:xf numFmtId="0" fontId="9" fillId="0" borderId="3" xfId="0" applyNumberFormat="1" applyFont="1" applyFill="1" applyBorder="1" applyAlignment="1">
      <x:alignment vertical="top" wrapText="1"/>
    </x:xf>
    <x:xf numFmtId="0" fontId="9" fillId="0" borderId="4" xfId="0" applyNumberFormat="1" applyFont="1" applyFill="1" applyBorder="1" applyAlignment="1">
      <x:alignment vertical="top" wrapText="1"/>
    </x:xf>
    <x:xf numFmtId="0" fontId="10" fillId="3" borderId="0" xfId="0" applyNumberFormat="1" applyFont="1" applyFill="1" applyBorder="1"/>
    <x:xf numFmtId="0" fontId="11" fillId="4" borderId="5" xfId="0" applyNumberFormat="1" applyFont="1" applyFill="1" applyBorder="1" applyAlignment="1">
      <x:alignment horizontal="center" vertical="center" wrapText="1"/>
    </x:xf>
    <x:xf numFmtId="0" fontId="7" fillId="0" borderId="6" xfId="0" applyNumberFormat="1" applyFont="1" applyFill="1" applyBorder="1" applyAlignment="1">
      <x:alignment vertical="center" wrapText="1"/>
    </x:xf>
    <x:xf numFmtId="0" fontId="7" fillId="0" borderId="7" xfId="0" applyNumberFormat="1" applyFont="1" applyFill="1" applyBorder="1" applyAlignment="1">
      <x:alignment vertical="center" wrapText="1"/>
    </x:xf>
    <x:xf numFmtId="0" fontId="11" fillId="4" borderId="8" xfId="0" applyNumberFormat="1" applyFont="1" applyFill="1" applyBorder="1" applyAlignment="1">
      <x:alignment horizontal="center" vertical="center" wrapText="1"/>
    </x:xf>
    <x:xf numFmtId="0" fontId="7" fillId="0" borderId="9" xfId="0" applyNumberFormat="1" applyFont="1" applyFill="1" applyBorder="1" applyAlignment="1">
      <x:alignment vertical="center" wrapText="1"/>
    </x:xf>
    <x:xf numFmtId="0" fontId="7" fillId="0" borderId="10" xfId="0" applyNumberFormat="1" applyFont="1" applyFill="1" applyBorder="1" applyAlignment="1">
      <x:alignment vertical="center" wrapText="1"/>
    </x:xf>
    <x:xf numFmtId="0" fontId="11" fillId="4" borderId="11" xfId="0" applyNumberFormat="1" applyFont="1" applyFill="1" applyBorder="1" applyAlignment="1">
      <x:alignment horizontal="center" vertical="center" wrapText="1"/>
    </x:xf>
    <x:xf numFmtId="0" fontId="7" fillId="0" borderId="12" xfId="0" applyNumberFormat="1" applyFont="1" applyFill="1" applyBorder="1" applyAlignment="1">
      <x:alignment vertical="center" wrapText="1"/>
    </x:xf>
    <x:xf numFmtId="0" fontId="7" fillId="0" borderId="13" xfId="0" applyNumberFormat="1" applyFont="1" applyFill="1" applyBorder="1" applyAlignment="1">
      <x:alignment vertical="center" wrapText="1"/>
    </x:xf>
    <x:xf numFmtId="0" fontId="8" fillId="2" borderId="14" xfId="0" applyNumberFormat="1" applyFont="1" applyFill="1" applyBorder="1" applyAlignment="1">
      <x:alignment vertical="center"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12" fillId="0" borderId="3" xfId="0" applyNumberFormat="1" applyFont="1" applyFill="1" applyBorder="1" applyAlignment="1">
      <x:alignment vertical="top" wrapText="1"/>
    </x:xf>
    <x:xf numFmtId="0" fontId="12" fillId="0" borderId="4" xfId="0" applyNumberFormat="1" applyFont="1" applyFill="1" applyBorder="1" applyAlignment="1">
      <x:alignment vertical="top" wrapText="1"/>
    </x:xf>
    <x:xf numFmtId="0" fontId="12" fillId="0" borderId="3" xfId="0" applyNumberFormat="1" applyFont="1" applyFill="1" applyBorder="1" applyAlignment="1">
      <x:alignment horizontal="center" vertical="top" wrapText="1"/>
    </x:xf>
    <x:xf numFmtId="0" fontId="12" fillId="0" borderId="4" xfId="0" applyNumberFormat="1" applyFont="1" applyFill="1" applyBorder="1" applyAlignment="1">
      <x:alignment horizontal="center" vertical="top" wrapText="1"/>
    </x:xf>
    <x:xf numFmtId="0" fontId="12" fillId="0" borderId="3" xfId="0" applyNumberFormat="1" applyFont="1" applyFill="1" applyBorder="1" applyAlignment="1">
      <x:alignment horizontal="center" vertical="center" wrapText="1"/>
    </x:xf>
    <x:xf numFmtId="0" fontId="12" fillId="0" borderId="4" xfId="0" applyNumberFormat="1" applyFont="1" applyFill="1" applyBorder="1" applyAlignment="1">
      <x:alignment horizontal="center" vertical="center" wrapText="1"/>
    </x:xf>
    <x:xf numFmtId="0" fontId="3" fillId="5" borderId="3"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12" fillId="5" borderId="3" xfId="0" applyNumberFormat="1" applyFont="1" applyFill="1" applyBorder="1" applyAlignment="1">
      <x:alignment vertical="top" wrapText="1"/>
    </x:xf>
    <x:xf numFmtId="0" fontId="12" fillId="5" borderId="4" xfId="0" applyNumberFormat="1" applyFont="1" applyFill="1" applyBorder="1" applyAlignment="1">
      <x:alignment vertical="top" wrapText="1"/>
    </x:xf>
    <x:xf numFmtId="0" fontId="3" fillId="0" borderId="3"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top" wrapText="1"/>
    </x:xf>
    <x:xf numFmtId="0" fontId="13" fillId="2" borderId="0" xfId="0" applyNumberFormat="1" applyFont="1" applyFill="1" applyBorder="1"/>
    <x:xf numFmtId="0" fontId="13" fillId="2" borderId="0" xfId="0" applyNumberFormat="1" applyFont="1" applyFill="1" applyBorder="1" applyAlignment="1">
      <x:alignment vertical="center"/>
    </x:xf>
    <x:xf numFmtId="200" fontId="3" fillId="0" borderId="3" xfId="0" applyNumberFormat="1" applyFont="1" applyFill="1" applyBorder="1" applyAlignment="1">
      <x:alignment vertical="top" wrapText="1"/>
    </x:xf>
    <x:xf numFmtId="200" fontId="3" fillId="0" borderId="4" xfId="0" applyNumberFormat="1" applyFont="1" applyFill="1" applyBorder="1" applyAlignment="1">
      <x:alignment vertical="top" wrapText="1"/>
    </x:xf>
    <x:xf numFmtId="200" fontId="0" fillId="0" borderId="0" xfId="0" applyNumberFormat="1" applyFont="1" applyFill="1" applyBorder="1"/>
    <x:xf numFmtId="200" fontId="2" fillId="2" borderId="2"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2049f9aa7b46a3" /><Relationship Type="http://schemas.openxmlformats.org/officeDocument/2006/relationships/theme" Target="/xl/theme/theme1.xml" Id="Rb8c6312304bd471b" /><Relationship Type="http://schemas.openxmlformats.org/officeDocument/2006/relationships/sharedStrings" Target="/xl/sharedStrings.xml" Id="R35cd32072d54473d" /><Relationship Type="http://schemas.openxmlformats.org/officeDocument/2006/relationships/worksheet" Target="/xl/worksheets/sheet1.xml" Id="R4440df7b55814bbc" /><Relationship Type="http://schemas.openxmlformats.org/officeDocument/2006/relationships/worksheet" Target="/xl/worksheets/sheet2.xml" Id="R6407ed75c1da4705" /><Relationship Type="http://schemas.openxmlformats.org/officeDocument/2006/relationships/worksheet" Target="/xl/worksheets/sheet3.xml" Id="R89f8eab9da0c45e5" /><Relationship Type="http://schemas.openxmlformats.org/officeDocument/2006/relationships/worksheet" Target="/xl/worksheets/sheet4.xml" Id="R2bbeef410647461e" /><Relationship Type="http://schemas.openxmlformats.org/officeDocument/2006/relationships/worksheet" Target="/xl/worksheets/sheet5.xml" Id="R8d25ad8479e74965" /></Relationships>
</file>

<file path=xl/tables/table1.xml><?xml version="1.0" encoding="utf-8"?>
<x:table xmlns:x="http://schemas.openxmlformats.org/spreadsheetml/2006/main" id="1" name="CoreFirstTable" displayName="CoreFirstTable" ref="A1:C151" headerRowCount="1" totalsRowCount="0" totalsRowShown="0">
  <x:tableColumns count="3">
    <x:tableColumn id="1" name="順番"/>
    <x:tableColumn id="2" name="表"/>
    <x:tableColumn id="3" name="裏"/>
  </x:tableColumns>
  <x:tableStyleInfo name="TableStyleMedium2" showFirstColumn="0" showLastColumn="0" showRowStripes="1" showColumnStripes="0"/>
</x:table>
</file>

<file path=xl/tables/table2.xml><?xml version="1.0" encoding="utf-8"?>
<x:table xmlns:x="http://schemas.openxmlformats.org/spreadsheetml/2006/main" id="2" name="FrontBackTable" displayName="FrontBackTable" ref="A1:B858" headerRowCount="1" totalsRowCount="0" totalsRowShown="0">
  <x:tableColumns count="2">
    <x:tableColumn id="1" name="表"/>
    <x:tableColumn id="2" name="裏"/>
  </x:tableColumns>
  <x:tableStyleInfo name="TableStyleMedium2" showFirstColumn="0" showLastColumn="0" showRowStripes="1" showColumnStripes="0"/>
</x:table>
</file>

<file path=xl/tables/table3.xml><?xml version="1.0" encoding="utf-8"?>
<x:table xmlns:x="http://schemas.openxmlformats.org/spreadsheetml/2006/main" id="3" name="AllCardsTable" displayName="AllCardsTable" ref="A1:J858" headerRowCount="1" totalsRowCount="0" totalsRowShown="0">
  <x:tableColumns count="10">
    <x:tableColumn id="1" name="ID"/>
    <x:tableColumn id="2" name="領域"/>
    <x:tableColumn id="3" name="段階"/>
    <x:tableColumn id="4" name="単元"/>
    <x:tableColumn id="5" name="種別"/>
    <x:tableColumn id="6" name="優先度"/>
    <x:tableColumn id="7" name="コア順"/>
    <x:tableColumn id="8" name="表"/>
    <x:tableColumn id="9" name="裏"/>
    <x:tableColumn id="10" name="関連語"/>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12edebc386247c1" /></Relationships>
</file>

<file path=xl/worksheets/_rels/sheet3.xml.rels>&#65279;<?xml version="1.0" encoding="utf-8"?><Relationships xmlns="http://schemas.openxmlformats.org/package/2006/relationships"><Relationship Type="http://schemas.openxmlformats.org/officeDocument/2006/relationships/table" Target="/xl/tables/table2.xml" Id="R3630513052f0459f" /></Relationships>
</file>

<file path=xl/worksheets/_rels/sheet4.xml.rels>&#65279;<?xml version="1.0" encoding="utf-8"?><Relationships xmlns="http://schemas.openxmlformats.org/package/2006/relationships"><Relationship Type="http://schemas.openxmlformats.org/officeDocument/2006/relationships/table" Target="/xl/tables/table3.xml" Id="R1f91eb8b845841e4"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9" hidden="0" customWidth="1"/>
    <x:col min="3" max="3" width="19" hidden="0" customWidth="1"/>
    <x:col min="4" max="4" width="19" hidden="0" customWidth="1"/>
    <x:col min="5" max="5" width="19" hidden="0" customWidth="1"/>
    <x:col min="6" max="6" width="19" hidden="0" customWidth="1"/>
  </x:cols>
  <x:sheetData>
    <x:row r="1" ht="34" customHeight="1">
      <x:c r="A1" s="69" t="str">
        <x:v>小・中学校理科 体系フラッシュカード</x:v>
      </x:c>
      <x:c r="B1" s="69"/>
      <x:c r="C1" s="69"/>
      <x:c r="D1" s="69"/>
      <x:c r="E1" s="69"/>
      <x:c r="F1" s="69"/>
    </x:row>
    <x:row r="2" ht="34" customHeight="1">
      <x:c r="A2" s="69"/>
      <x:c r="B2" s="69"/>
      <x:c r="C2" s="69"/>
      <x:c r="D2" s="69"/>
      <x:c r="E2" s="69"/>
      <x:c r="F2" s="69"/>
    </x:row>
    <x:row r="3">
      <x:c r="A3" s="70"/>
      <x:c r="B3" s="70"/>
      <x:c r="C3" s="70"/>
      <x:c r="D3" s="70"/>
      <x:c r="E3" s="70"/>
      <x:c r="F3" s="70"/>
    </x:row>
    <x:row r="4" ht="30" customHeight="1">
      <x:c r="A4" s="71" t="str">
        <x:v>項目</x:v>
      </x:c>
      <x:c r="B4" s="72" t="str">
        <x:v>内容</x:v>
      </x:c>
      <x:c r="C4" s="70"/>
      <x:c r="D4" s="70"/>
      <x:c r="E4" s="70"/>
      <x:c r="F4" s="70"/>
    </x:row>
    <x:row r="5" ht="48" customHeight="1">
      <x:c r="A5" s="73" t="str">
        <x:v>総カード数</x:v>
      </x:c>
      <x:c r="B5" s="73" t="n">
        <x:f>COUNTA('表裏'!$A$2:$A$2000)</x:f>
        <x:v>857</x:v>
      </x:c>
      <x:c r="C5" s="70"/>
      <x:c r="D5" s="70"/>
      <x:c r="E5" s="70"/>
      <x:c r="F5" s="70"/>
    </x:row>
    <x:row r="6" ht="48" customHeight="1">
      <x:c r="A6" s="74" t="str">
        <x:v>主な対象</x:v>
      </x:c>
      <x:c r="B6" s="74" t="str">
        <x:v>小学校3〜6年から中学校3年・高校受験（偏差値65前後を意識）</x:v>
      </x:c>
      <x:c r="C6" s="70"/>
      <x:c r="D6" s="70"/>
      <x:c r="E6" s="70"/>
      <x:c r="F6" s="70"/>
    </x:row>
    <x:row r="7" ht="48" customHeight="1">
      <x:c r="A7" s="74" t="str">
        <x:v>表面</x:v>
      </x:c>
      <x:c r="B7" s="74" t="str">
        <x:v>領域名などの接頭辞を付けない、短い概念・問い</x:v>
      </x:c>
      <x:c r="C7" s="70"/>
      <x:c r="D7" s="70"/>
      <x:c r="E7" s="70"/>
      <x:c r="F7" s="70"/>
    </x:row>
    <x:row r="8" ht="48" customHeight="1">
      <x:c r="A8" s="74" t="str">
        <x:v>裏面</x:v>
      </x:c>
      <x:c r="B8" s="74" t="str">
        <x:v>意味・仕組み・比較・計算・実験上の注意＋関連語</x:v>
      </x:c>
      <x:c r="C8" s="70"/>
      <x:c r="D8" s="70"/>
      <x:c r="E8" s="70"/>
      <x:c r="F8" s="70"/>
    </x:row>
    <x:row r="9" ht="30" customHeight="1">
      <x:c r="A9" s="70"/>
      <x:c r="B9" s="70"/>
      <x:c r="C9" s="70"/>
      <x:c r="D9" s="70"/>
      <x:c r="E9" s="70"/>
      <x:c r="F9" s="70"/>
    </x:row>
    <x:row r="10" ht="30" customHeight="1">
      <x:c r="A10" s="75" t="str">
        <x:v>学習順</x:v>
      </x:c>
      <x:c r="B10" s="75" t="str"/>
      <x:c r="C10" s="75" t="str"/>
      <x:c r="D10" s="75" t="str"/>
      <x:c r="E10" s="75" t="str"/>
      <x:c r="F10" s="75" t="str"/>
    </x:row>
    <x:row r="11" ht="30" customHeight="1">
      <x:c r="A11" s="76" t="str">
        <x:v>1</x:v>
      </x:c>
      <x:c r="B11" s="77" t="str">
        <x:v>『最初の150』シートを1日15〜20枚ずつ学ぶ</x:v>
      </x:c>
      <x:c r="C11" s="77" t="str"/>
      <x:c r="D11" s="77" t="str"/>
      <x:c r="E11" s="77" t="str"/>
      <x:c r="F11" s="78" t="str"/>
    </x:row>
    <x:row r="12" ht="30" customHeight="1">
      <x:c r="A12" s="79" t="str">
        <x:v>2</x:v>
      </x:c>
      <x:c r="B12" s="80" t="str">
        <x:v>150枚を一巡してから、優先度Aの残りへ進む</x:v>
      </x:c>
      <x:c r="C12" s="80" t="str"/>
      <x:c r="D12" s="80" t="str"/>
      <x:c r="E12" s="80" t="str"/>
      <x:c r="F12" s="81" t="str"/>
    </x:row>
    <x:row r="13" ht="30" customHeight="1">
      <x:c r="A13" s="79" t="str">
        <x:v>3</x:v>
      </x:c>
      <x:c r="B13" s="80" t="str">
        <x:v>裏面の『つながり』から一語を選び、別概念との関係を説明する</x:v>
      </x:c>
      <x:c r="C13" s="80" t="str"/>
      <x:c r="D13" s="80" t="str"/>
      <x:c r="E13" s="80" t="str"/>
      <x:c r="F13" s="81" t="str"/>
    </x:row>
    <x:row r="14" ht="30" customHeight="1">
      <x:c r="A14" s="79" t="str">
        <x:v>4</x:v>
      </x:c>
      <x:c r="B14" s="80" t="str">
        <x:v>実験・読図・計算カードは途中過程まで再現する</x:v>
      </x:c>
      <x:c r="C14" s="80" t="str"/>
      <x:c r="D14" s="80" t="str"/>
      <x:c r="E14" s="80" t="str"/>
      <x:c r="F14" s="81" t="str"/>
    </x:row>
    <x:row r="15" ht="30" customHeight="1">
      <x:c r="A15" s="79" t="str">
        <x:v>5</x:v>
      </x:c>
      <x:c r="B15" s="80" t="str">
        <x:v>誤答は正答だけでなく、誤った判断の根拠を修正する</x:v>
      </x:c>
      <x:c r="C15" s="80" t="str"/>
      <x:c r="D15" s="80" t="str"/>
      <x:c r="E15" s="80" t="str"/>
      <x:c r="F15" s="81" t="str"/>
    </x:row>
    <x:row r="16" ht="30" customHeight="1">
      <x:c r="A16" s="82" t="str">
        <x:v>Anki</x:v>
      </x:c>
      <x:c r="B16" s="83" t="str">
        <x:v>まず anki/science_core_first_150.tsv。終了後に science_tagged.tsv へ進む。</x:v>
      </x:c>
      <x:c r="C16" s="83" t="str"/>
      <x:c r="D16" s="83" t="str"/>
      <x:c r="E16" s="83" t="str"/>
      <x:c r="F16" s="84" t="str"/>
    </x:row>
    <x:row r="17" ht="30" customHeight="1">
      <x:c r="A17" s="70"/>
      <x:c r="B17" s="70"/>
      <x:c r="C17" s="70"/>
      <x:c r="D17" s="70"/>
      <x:c r="E17" s="70"/>
      <x:c r="F17" s="70"/>
    </x:row>
    <x:row r="18" ht="30" customHeight="1">
      <x:c r="A18" s="71" t="str">
        <x:v>参照基準</x:v>
      </x:c>
      <x:c r="B18" s="85" t="str">
        <x:v>URL</x:v>
      </x:c>
      <x:c r="C18" s="85" t="str"/>
      <x:c r="D18" s="85" t="str"/>
      <x:c r="E18" s="85" t="str"/>
      <x:c r="F18" s="72" t="str"/>
    </x:row>
    <x:row r="19" ht="30" customHeight="1">
      <x:c r="A19" s="86" t="str">
        <x:v>文部科学省・小学校学習指導要領解説 理科編</x:v>
      </x:c>
      <x:c r="B19" s="87" t="str">
        <x:v>https://www.mext.go.jp/component/a_menu/education/micro_detail/__icsFiles/afieldfile/2019/03/18/1387017_005_1.pdf</x:v>
      </x:c>
      <x:c r="C19" s="87" t="str"/>
      <x:c r="D19" s="87" t="str"/>
      <x:c r="E19" s="87" t="str"/>
      <x:c r="F19" s="88" t="str"/>
    </x:row>
    <x:row r="20" ht="30" customHeight="1">
      <x:c r="A20" s="89" t="str">
        <x:v>文部科学省・中学校学習指導要領解説 理科編</x:v>
      </x:c>
      <x:c r="B20" s="90" t="str">
        <x:v>https://www.mext.go.jp/component/a_menu/education/micro_detail/__icsFiles/afieldfile/2019/03/18/1387018_005.pdf</x:v>
      </x:c>
      <x:c r="C20" s="90" t="str"/>
      <x:c r="D20" s="90" t="str"/>
      <x:c r="E20" s="90" t="str"/>
      <x:c r="F20" s="91" t="str"/>
    </x:row>
    <x:row r="21" ht="30" customHeight="1">
      <x:c r="A21" s="89" t="str">
        <x:v>Anki Manual・Text Files</x:v>
      </x:c>
      <x:c r="B21" s="90" t="str">
        <x:v>https://docs.ankiweb.net/importing/text-files.html</x:v>
      </x:c>
      <x:c r="C21" s="90" t="str"/>
      <x:c r="D21" s="90" t="str"/>
      <x:c r="E21" s="90" t="str"/>
      <x:c r="F21" s="91" t="str"/>
    </x:row>
    <x:row r="22" ht="30" customHeight="1">
      <x:c r="A22" s="92" t="str">
        <x:v>生成日</x:v>
      </x:c>
      <x:c r="B22" s="93" t="str">
        <x:v>2026-07-10</x:v>
      </x:c>
      <x:c r="C22" s="93" t="str"/>
      <x:c r="D22" s="93" t="str"/>
      <x:c r="E22" s="93" t="str"/>
      <x:c r="F22" s="94" t="str"/>
    </x:row>
  </x:sheetData>
  <x:mergeCells>
    <x:mergeCell ref="A1:F2"/>
    <x:mergeCell ref="A10:F10"/>
    <x:mergeCell ref="B11:F11"/>
    <x:mergeCell ref="B12:F12"/>
    <x:mergeCell ref="B13:F13"/>
    <x:mergeCell ref="B14:F14"/>
    <x:mergeCell ref="B15:F15"/>
    <x:mergeCell ref="B16:F16"/>
    <x:mergeCell ref="B19:F19"/>
    <x:mergeCell ref="B20:F20"/>
    <x:mergeCell ref="B21:F21"/>
    <x:mergeCell ref="B22:F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32" hidden="0" customWidth="1"/>
    <x:col min="3" max="3" width="100" hidden="0" customWidth="1"/>
  </x:cols>
  <x:sheetData>
    <x:row r="1">
      <x:c r="A1" s="10" t="str">
        <x:v>順番</x:v>
      </x:c>
      <x:c r="B1" s="59" t="str">
        <x:v>表</x:v>
      </x:c>
      <x:c r="C1" s="11" t="str">
        <x:v>裏</x:v>
      </x:c>
    </x:row>
    <x:row r="2" ht="60" customHeight="1">
      <x:c r="A2" s="99" t="n">
        <x:v>1</x:v>
      </x:c>
      <x:c r="B2" s="17" t="str">
        <x:v>観察した事実と考えたことの区別</x:v>
      </x:c>
      <x:c r="C2" s="17" t="str">
        <x:v>「液が青になった」は観察事実、「アルカリ性だ」は知識を使った解釈である。記録で両者を分けると、同じ証拠から解釈が妥当か確かめられる。つながり：観察事実／解釈／証拠／結論</x:v>
      </x:c>
    </x:row>
    <x:row r="3" ht="60" customHeight="1">
      <x:c r="A3" s="100" t="n">
        <x:v>2</x:v>
      </x:c>
      <x:c r="B3" s="18" t="str">
        <x:v>科学で調べやすい問いの条件</x:v>
      </x:c>
      <x:c r="C3" s="18" t="str">
        <x:v>対象と比べる量が明確で、観察・測定・実験・資料によって確かめられる問いである。好みや価値だけを尋ねる問いは、科学データだけでは決められない。つながり：問い／測定可能性／証拠／価値判断</x:v>
      </x:c>
    </x:row>
    <x:row r="4" ht="60" customHeight="1">
      <x:c r="A4" s="100" t="n">
        <x:v>3</x:v>
      </x:c>
      <x:c r="B4" s="18" t="str">
        <x:v>予想と仮説（かせつ）の違い</x:v>
      </x:c>
      <x:c r="C4" s="18" t="str">
        <x:v>予想は結果の見通し、仮説（かせつ）は結果がそうなる仕組みまで含む、確かめ可能な説明である。「温度が上がると思う」に「日光で地面が温められるから」を加えると仮説に近づく。つながり：予想／仮説／根拠／検証</x:v>
      </x:c>
    </x:row>
    <x:row r="5" ht="60" customHeight="1">
      <x:c r="A5" s="100" t="n">
        <x:v>4</x:v>
      </x:c>
      <x:c r="B5" s="18" t="str">
        <x:v>一つの条件だけを変える理由</x:v>
      </x:c>
      <x:c r="C5" s="18" t="str">
        <x:v>結果の違いを、変えた条件の影響として説明しやすくするためである。二つ以上を同時に変えると、どちらが原因か切り分けられない。つながり：変える条件／そろえる条件／公平な実験／因果</x:v>
      </x:c>
    </x:row>
    <x:row r="6" ht="60" customHeight="1">
      <x:c r="A6" s="100" t="n">
        <x:v>5</x:v>
      </x:c>
      <x:c r="B6" s="18" t="str">
        <x:v>実験で意図的に変える量</x:v>
      </x:c>
      <x:c r="C6" s="18" t="str">
        <x:v>原因として働くか調べるため、実験者が段階的に変える量を独立変数（どくりつへんすう）という。横軸に置くことが多いが、時間のように自然に進む量も独立変数として扱う場合がある。つながり：独立変数／横軸／条件制御／従属変数（じゅうぞくへんすう）</x:v>
      </x:c>
    </x:row>
    <x:row r="7" ht="60" customHeight="1">
      <x:c r="A7" s="100" t="n">
        <x:v>6</x:v>
      </x:c>
      <x:c r="B7" s="18" t="str">
        <x:v>実験で同じに保つ量</x:v>
      </x:c>
      <x:c r="C7" s="18" t="str">
        <x:v>調べたい条件以外で結果へ影響しそうな量を統制変数といい、各組で同じにする。振り子の長さの影響なら、おもりの重さや振れ幅をそろえる。つながり：統制変数／公平な実験／振り子／独立変数（どくりつへんすう）</x:v>
      </x:c>
    </x:row>
    <x:row r="8" ht="60" customHeight="1">
      <x:c r="A8" s="100" t="n">
        <x:v>7</x:v>
      </x:c>
      <x:c r="B8" s="18" t="str">
        <x:v>実験で結果として測る量</x:v>
      </x:c>
      <x:c r="C8" s="18" t="str">
        <x:v>変えた条件に応じて変化するかを測る量を従属変数（じゅうぞくへんすう）という。通常は縦軸に置き、単位と測定方法を実験前に決める。つながり：従属変数／縦軸／測定／独立変数（どくりつへんすう）</x:v>
      </x:c>
    </x:row>
    <x:row r="9" ht="60" customHeight="1">
      <x:c r="A9" s="100" t="n">
        <x:v>8</x:v>
      </x:c>
      <x:c r="B9" s="18" t="str">
        <x:v>測る量に合う器具の選び方</x:v>
      </x:c>
      <x:c r="C9" s="18" t="str">
        <x:v>量の種類、予想される範囲、必要な細かさに合う器具を選ぶ。100 mL程度を正確に量るのに大きなバケツを使うと、目盛が粗く誤差が大きい。つながり：測定範囲／最小目盛／精度／器具</x:v>
      </x:c>
    </x:row>
    <x:row r="10" ht="60" customHeight="1">
      <x:c r="A10" s="100" t="n">
        <x:v>9</x:v>
      </x:c>
      <x:c r="B10" s="18" t="str">
        <x:v>複数回をまとめて測る工夫</x:v>
      </x:c>
      <x:c r="C10" s="18" t="str">
        <x:v>振り子10往復など複数回分を一度に測ってから回数で割ると、開始・停止の反応時間が1往復ごとに占める割合を小さくできる。つながり：反復測定／平均／振り子／反応時間</x:v>
      </x:c>
    </x:row>
    <x:row r="11" ht="60" customHeight="1">
      <x:c r="A11" s="100" t="n">
        <x:v>10</x:v>
      </x:c>
      <x:c r="B11" s="18" t="str">
        <x:v>測るたび不規則に変わるずれ</x:v>
      </x:c>
      <x:c r="C11" s="18" t="str">
        <x:v>読み取りやわずかな環境変動で正負にばらつくずれを偶然誤差（ぐうぜんごさ）という。回数を増やして平均すると影響を小さくできるが、完全には消えない。つながり：偶然誤差／反復／平均／散らばり</x:v>
      </x:c>
    </x:row>
    <x:row r="12" ht="60" customHeight="1">
      <x:c r="A12" s="100" t="n">
        <x:v>11</x:v>
      </x:c>
      <x:c r="B12" s="18" t="str">
        <x:v>全測定を同じ向きにずらす誤差</x:v>
      </x:c>
      <x:c r="C12" s="18" t="str">
        <x:v>器具のゼロ点ずれや校正不良のように、値を一方向へ偏らせるものを系統誤差（けいとうごさ）という。回数を増やして平均しても直らず、器具・方法の点検や補正が必要である。つながり：系統誤差／ゼロ点／校正／補正</x:v>
      </x:c>
    </x:row>
    <x:row r="13" ht="60" customHeight="1">
      <x:c r="A13" s="100" t="n">
        <x:v>12</x:v>
      </x:c>
      <x:c r="B13" s="18" t="str">
        <x:v>表の見出しに書く二つの情報</x:v>
      </x:c>
      <x:c r="C13" s="18" t="str">
        <x:v>何を測った列かを示す量名と、その値の単位を書く。例は「時間（s）」であり、数値欄へ単位を毎回書かなくても意味が一意になる。つながり：表／量名／単位／測定値</x:v>
      </x:c>
    </x:row>
    <x:row r="14" ht="60" customHeight="1">
      <x:c r="A14" s="100" t="n">
        <x:v>13</x:v>
      </x:c>
      <x:c r="B14" s="18" t="str">
        <x:v>横軸に置く量の決め方</x:v>
      </x:c>
      <x:c r="C14" s="18" t="str">
        <x:v>実験者が変えた量や、時間のように変化の基準となる量を横軸に置く。軸名と単位を添え、条件の順序が意味をもつよう並べる。つながり：横軸／独立変数（どくりつへんすう）／時間／グラフ</x:v>
      </x:c>
    </x:row>
    <x:row r="15" ht="60" customHeight="1">
      <x:c r="A15" s="100" t="n">
        <x:v>14</x:v>
      </x:c>
      <x:c r="B15" s="18" t="str">
        <x:v>縦軸に置く量の決め方</x:v>
      </x:c>
      <x:c r="C15" s="18" t="str">
        <x:v>横軸の条件に応じて測った結果を縦軸に置く。軸名・単位・測定範囲を明示すると、何の変化か読み取れる。つながり：縦軸／従属変数（じゅうぞくへんすう）／測定結果／グラフ</x:v>
      </x:c>
    </x:row>
    <x:row r="16" ht="60" customHeight="1">
      <x:c r="A16" s="100" t="n">
        <x:v>15</x:v>
      </x:c>
      <x:c r="B16" s="18" t="str">
        <x:v>グラフの傾きが表すもの</x:v>
      </x:c>
      <x:c r="C16" s="18" t="str">
        <x:v>傾きは縦軸の変化量÷横軸の変化量で、横へ1単位進むと縦がどれだけ変わるかを表す。意味と単位は軸によって変わり、距離―時間なら速さになる。つながり：傾き／変化量／速さ／単位</x:v>
      </x:c>
    </x:row>
    <x:row r="17" ht="60" customHeight="1">
      <x:c r="A17" s="100" t="n">
        <x:v>16</x:v>
      </x:c>
      <x:c r="B17" s="18" t="str">
        <x:v>複数の単位が混じる計算の順序</x:v>
      </x:c>
      <x:c r="C17" s="18" t="str">
        <x:v>式へ代入する前に、長さ・時間・質量などを一つの単位系へそろえる。計算後に求められた単位を確認し、指定された単位へ直すと換算漏れを防げる。つながり：単位換算／式／検算／物理量</x:v>
      </x:c>
    </x:row>
    <x:row r="18" ht="60" customHeight="1">
      <x:c r="A18" s="100" t="n">
        <x:v>17</x:v>
      </x:c>
      <x:c r="B18" s="18" t="str">
        <x:v>公式を安全に変形する方法</x:v>
      </x:c>
      <x:c r="C18" s="18" t="str">
        <x:v>求めたい文字だけを残すため、等式の両辺へ同じ演算を行う。V=IRからIを求めるなら両辺をRで割り、I=V/Rとする。つながり：等式／式変形／オームの法則／逆算</x:v>
      </x:c>
    </x:row>
    <x:row r="19" ht="60" customHeight="1">
      <x:c r="A19" s="100" t="n">
        <x:v>18</x:v>
      </x:c>
      <x:c r="B19" s="18" t="str">
        <x:v>危険性が不明な物質を扱う前</x:v>
      </x:c>
      <x:c r="C19" s="18" t="str">
        <x:v>ラベルと指示を確認し、必要な保護具・換気・火気の有無・廃棄方法を決める。正体を確かめるために直接触れる、味見する、むやみに混ぜる操作はしない。つながり：ラベル／保護具／換気／薬品安全</x:v>
      </x:c>
    </x:row>
    <x:row r="20" ht="60" customHeight="1">
      <x:c r="A20" s="100" t="n">
        <x:v>19</x:v>
      </x:c>
      <x:c r="B20" s="18" t="str">
        <x:v>主張・証拠・理由付けの組み立て</x:v>
      </x:c>
      <x:c r="C20" s="18" t="str">
        <x:v>結論となる主張、資料から選んだ証拠、科学概念を使って両者を結ぶ理由付けの順に説明する。数値を写すだけでは、なぜ結論を支えるかが不足する。つながり：主張／証拠／理由付け／科学概念</x:v>
      </x:c>
    </x:row>
    <x:row r="21" ht="60" customHeight="1">
      <x:c r="A21" s="100" t="n">
        <x:v>20</x:v>
      </x:c>
      <x:c r="B21" s="18" t="str">
        <x:v>相関だけで原因を決められない理由</x:v>
      </x:c>
      <x:c r="C21" s="18" t="str">
        <x:v>AがBを生むほか、BがAを生む、第三の要因が両方を変える、偶然という可能性がある。時間順序、仕組み、条件制御した実験などを追加して因果を検討する。つながり：相関／因果／交絡要因／対照実験（たいしょうじっけん）</x:v>
      </x:c>
    </x:row>
    <x:row r="22" ht="60" customHeight="1">
      <x:c r="A22" s="100" t="n">
        <x:v>21</x:v>
      </x:c>
      <x:c r="B22" s="18" t="str">
        <x:v>光の直進</x:v>
      </x:c>
      <x:c r="C22" s="18" t="str">
        <x:v>光は同じ物質の中ではまっすぐ進む。小さな穴を通した光の筋や、影ができることから確かめられる。光線は光の進む道筋を矢印付きの線で表したもの。つながり：影／光線／反射（はんしゃ）</x:v>
      </x:c>
    </x:row>
    <x:row r="23" ht="60" customHeight="1">
      <x:c r="A23" s="100" t="n">
        <x:v>22</x:v>
      </x:c>
      <x:c r="B23" s="18" t="str">
        <x:v>音の正体</x:v>
      </x:c>
      <x:c r="C23" s="18" t="str">
        <x:v>音は物体の振動によって生じ、その振動が周囲へ伝わる現象。音を出している物体を音源という。音叉を水面に触れさせると水が飛び、振動を確かめられる。つながり：振動／音源／音の波</x:v>
      </x:c>
    </x:row>
    <x:row r="24" ht="60" customHeight="1">
      <x:c r="A24" s="100" t="n">
        <x:v>23</x:v>
      </x:c>
      <x:c r="B24" s="18" t="str">
        <x:v>電気の通り道</x:v>
      </x:c>
      <x:c r="C24" s="18" t="str">
        <x:v>乾電池の＋極から導線・豆電球などを通り、−極まで切れ目なくつながった道を回路という。どこか一か所でも切れると電流は流れない。つながり：回路／電流／スイッチ</x:v>
      </x:c>
    </x:row>
    <x:row r="25" ht="60" customHeight="1">
      <x:c r="A25" s="100" t="n">
        <x:v>24</x:v>
      </x:c>
      <x:c r="B25" s="18" t="str">
        <x:v>磁石の極</x:v>
      </x:c>
      <x:c r="C25" s="18" t="str">
        <x:v>磁石で力が最も強い両端をN極・S極という。同じ極どうしはしりぞけ合い、異なる極どうしは引き合う。磁石を切ってもN極だけにはならず、各片に両極ができる。つながり：磁力／磁界（じかい）／電磁石</x:v>
      </x:c>
    </x:row>
    <x:row r="26" ht="60" customHeight="1">
      <x:c r="A26" s="100" t="n">
        <x:v>25</x:v>
      </x:c>
      <x:c r="B26" s="18" t="str">
        <x:v>固体・液体・気体</x:v>
      </x:c>
      <x:c r="C26" s="18" t="str">
        <x:v>固体は形と体積がほぼ一定、液体は体積がほぼ一定で容器に合わせて形が変わり、気体は形も体積も容器全体へ広がる。同じ物質でも温度で状態が変わる。つながり：状態変化／粒子／温度</x:v>
      </x:c>
    </x:row>
    <x:row r="27" ht="60" customHeight="1">
      <x:c r="A27" s="100" t="n">
        <x:v>26</x:v>
      </x:c>
      <x:c r="B27" s="18" t="str">
        <x:v>状態変化</x:v>
      </x:c>
      <x:c r="C27" s="18" t="str">
        <x:v>物質が温度によって固体・液体・気体の間を変わること。物質の種類は変わらないので物理変化であり、基本的に全体の質量も変わらない。つながり：融解（ゆうかい）／気化／凝固（ぎょうこ）</x:v>
      </x:c>
    </x:row>
    <x:row r="28" ht="60" customHeight="1">
      <x:c r="A28" s="100" t="n">
        <x:v>27</x:v>
      </x:c>
      <x:c r="B28" s="18" t="str">
        <x:v>自然界の水の循環</x:v>
      </x:c>
      <x:c r="C28" s="18" t="str">
        <x:v>海・地面・植物から水が蒸発・蒸散（じょうさん）し、水蒸気が冷えて雲になり、雨や雪として地上へ戻る。川や地下水として海へ流れる。水は形と場所を変えながら循環する。つながり：蒸発／凝結（ぎょうけつ）／雲／降水</x:v>
      </x:c>
    </x:row>
    <x:row r="29" ht="60" customHeight="1">
      <x:c r="A29" s="100" t="n">
        <x:v>28</x:v>
      </x:c>
      <x:c r="B29" s="18" t="str">
        <x:v>溶ける</x:v>
      </x:c>
      <x:c r="C29" s="18" t="str">
        <x:v>物質の粒子が液体中へ均一に広がり、見えない大きさで混ざること。なくなったのではなく、溶液を蒸発させれば多くの場合取り出せる。沈んだだけ、融けただけとは異なる。つながり：溶解／水溶液／結晶</x:v>
      </x:c>
    </x:row>
    <x:row r="30" ht="60" customHeight="1">
      <x:c r="A30" s="100" t="n">
        <x:v>29</x:v>
      </x:c>
      <x:c r="B30" s="18" t="str">
        <x:v>流水の3つのはたらき</x:v>
      </x:c>
      <x:c r="C30" s="18" t="str">
        <x:v>流れる水が地面を削る侵食（しんしょく）、土砂を運ぶ運搬（うんぱん）、流れが弱い場所に積もらせる堆積（たいせき）。流速が大きいほど一般に大きな粒も運べる。つながり：侵食／運搬／堆積／流速</x:v>
      </x:c>
    </x:row>
    <x:row r="31" ht="60" customHeight="1">
      <x:c r="A31" s="100" t="n">
        <x:v>30</x:v>
      </x:c>
      <x:c r="B31" s="18" t="str">
        <x:v>エネルギーの変換</x:v>
      </x:c>
      <x:c r="C31" s="18" t="str">
        <x:v>エネルギーは形を変える。電球では電気→光・熱、モーターでは電気→運動、発電機では運動→電気。変換前後の総量は保存されるが、目的外の熱などへも分かれる。つながり：エネルギー保存／電力／効率</x:v>
      </x:c>
    </x:row>
    <x:row r="32" ht="60" customHeight="1">
      <x:c r="A32" s="100" t="n">
        <x:v>31</x:v>
      </x:c>
      <x:c r="B32" s="18" t="str">
        <x:v>てこのつり合い</x:v>
      </x:c>
      <x:c r="C32" s="18" t="str">
        <x:v>左右の回そうとするはたらきが等しいとつり合う。力×支点（してん）からの距離が左右で等しくなる。距離は支点から力の向きへ下ろした垂線の長さで考える。つながり：モーメント／支点／仕事</x:v>
      </x:c>
    </x:row>
    <x:row r="33" ht="60" customHeight="1">
      <x:c r="A33" s="100" t="n">
        <x:v>32</x:v>
      </x:c>
      <x:c r="B33" s="18" t="str">
        <x:v>燃焼の三条件</x:v>
      </x:c>
      <x:c r="C33" s="18" t="str">
        <x:v>燃える物質、酸素、発火点以上の温度がそろうと燃焼が続く。消火は、燃料を除く・酸素を遮る・発火点未満へ冷やす、のどれかを行う。つながり：酸素／発火点／消火</x:v>
      </x:c>
    </x:row>
    <x:row r="34" ht="60" customHeight="1">
      <x:c r="A34" s="100" t="n">
        <x:v>33</x:v>
      </x:c>
      <x:c r="B34" s="18" t="str">
        <x:v>地層</x:v>
      </x:c>
      <x:c r="C34" s="18" t="str">
        <x:v>れき・砂・泥・火山灰などが水底や地表に積み重なってできた層。下の層ほど古いのが基本だが、地殻変動で逆転している場合や断層（だんそう）・不整合には注意する。つながり：堆積（たいせき）／堆積岩／化石／地層累重の法則</x:v>
      </x:c>
    </x:row>
    <x:row r="35" ht="60" customHeight="1">
      <x:c r="A35" s="100" t="n">
        <x:v>34</x:v>
      </x:c>
      <x:c r="B35" s="18" t="str">
        <x:v>入射角と反射（はんしゃ）角</x:v>
      </x:c>
      <x:c r="C35" s="18" t="str">
        <x:v>入射角は入射光と法線のなす角、反射（はんしゃ）角は反射光と法線のなす角。反射の法則により常に等しい。鏡面との角度が示されたら90°から引く。つながり：反射の法則／法線／平面鏡</x:v>
      </x:c>
    </x:row>
    <x:row r="36" ht="60" customHeight="1">
      <x:c r="A36" s="100" t="n">
        <x:v>35</x:v>
      </x:c>
      <x:c r="B36" s="18" t="str">
        <x:v>屈折（くっせつ）</x:v>
      </x:c>
      <x:c r="C36" s="18" t="str">
        <x:v>光が異なる物質の境界を斜めに通ると、速さが変わって進む向きも変わる現象。空気から水・ガラスへ入ると法線側へ、水・ガラスから空気へ出ると法線から離れる。つながり：法線／全反射（はんしゃ）／凸レンズ</x:v>
      </x:c>
    </x:row>
    <x:row r="37" ht="60" customHeight="1">
      <x:c r="A37" s="100" t="n">
        <x:v>36</x:v>
      </x:c>
      <x:c r="B37" s="18" t="str">
        <x:v>凸（とつ）レンズ</x:v>
      </x:c>
      <x:c r="C37" s="18" t="str">
        <x:v>中央が厚く、平行な光を集めるレンズ。光軸に平行な光は屈折（くっせつ）後に焦点（しょうてん）を通り、レンズの中心を通る光はほぼ直進する。この2本を使って像を作図する。つながり：焦点／実像（じつぞう）／屈折</x:v>
      </x:c>
    </x:row>
    <x:row r="38" ht="60" customHeight="1">
      <x:c r="A38" s="100" t="n">
        <x:v>37</x:v>
      </x:c>
      <x:c r="B38" s="18" t="str">
        <x:v>凸レンズの作図</x:v>
      </x:c>
      <x:c r="C38" s="18" t="str">
        <x:v>物体の先端から①光軸に平行→屈折（くっせつ）後に反対側の焦点（しょうてん）、②レンズ中心→直進、の2本を引く。交点が実像（じつぞう）の先端。虚像（きょぞう）では屈折光を物体側へ延長する。つながり：焦点／実像／虚像</x:v>
      </x:c>
    </x:row>
    <x:row r="39" ht="60" customHeight="1">
      <x:c r="A39" s="100" t="n">
        <x:v>38</x:v>
      </x:c>
      <x:c r="B39" s="18" t="str">
        <x:v>音の大きさと振幅（しんぷく）</x:v>
      </x:c>
      <x:c r="C39" s="18" t="str">
        <x:v>振動の中心からの最大のずれを振幅（しんぷく）という。振幅が大きいほど音は大きい。波形では上下の幅に注目し、横方向の間隔である振動数（しんどうすう）とは区別する。つながり：振幅／波形／音の高さ</x:v>
      </x:c>
    </x:row>
    <x:row r="40" ht="60" customHeight="1">
      <x:c r="A40" s="100" t="n">
        <x:v>39</x:v>
      </x:c>
      <x:c r="B40" s="18" t="str">
        <x:v>状態変化の粒子モデル</x:v>
      </x:c>
      <x:c r="C40" s="18" t="str">
        <x:v>固体では粒子が規則的に並びその場で振動し、液体では近接したまま動き、気体では離れて自由に動く。状態変化で粒子そのものの種類や個数は変わらない。つながり：粒子／状態変化／熱運動</x:v>
      </x:c>
    </x:row>
    <x:row r="41" ht="60" customHeight="1">
      <x:c r="A41" s="100" t="n">
        <x:v>40</x:v>
      </x:c>
      <x:c r="B41" s="18" t="str">
        <x:v>溶質（ようしつ）・溶媒（ようばい）・溶液</x:v>
      </x:c>
      <x:c r="C41" s="18" t="str">
        <x:v>溶かされる物質が溶質（ようしつ）、溶かす液体が溶媒（ようばい）、均一に混ざったものが溶液。溶媒が水なら水溶液。食塩水では食塩が溶質、水が溶媒。つながり：水溶液／溶解／濃度</x:v>
      </x:c>
    </x:row>
    <x:row r="42" ht="60" customHeight="1">
      <x:c r="A42" s="100" t="n">
        <x:v>41</x:v>
      </x:c>
      <x:c r="B42" s="18" t="str">
        <x:v>ろ過</x:v>
      </x:c>
      <x:c r="C42" s="18" t="str">
        <x:v>液体に溶けていない固体を、ろ紙を通して分ける操作。溶けた食塩などは粒子がろ紙を通るので分けられない。液面をろ紙の上端より低くし、液をガラス棒へ伝わせる。つながり：ろ紙／溶解／蒸発</x:v>
      </x:c>
    </x:row>
    <x:row r="43" ht="60" customHeight="1">
      <x:c r="A43" s="100" t="n">
        <x:v>42</x:v>
      </x:c>
      <x:c r="B43" s="18" t="str">
        <x:v>溶解度（ようかいど）</x:v>
      </x:c>
      <x:c r="C43" s="18" t="str">
        <x:v>一定温度で水100 gに溶ける物質の最大質量。単位は通常g/水100 g。水溶液100 gあたりではない。多くの固体は温度上昇で増えるが、増え方は物質ごとに違う。つながり：飽和水溶液（ほうわすいようえき）／溶解度（ようかいど）曲線／再結晶（さいけっしょう）</x:v>
      </x:c>
    </x:row>
    <x:row r="44" ht="60" customHeight="1">
      <x:c r="A44" s="100" t="n">
        <x:v>43</x:v>
      </x:c>
      <x:c r="B44" s="18" t="str">
        <x:v>溶解度（ようかいど）曲線</x:v>
      </x:c>
      <x:c r="C44" s="18" t="str">
        <x:v>横軸に温度、縦軸に水100 gへ溶ける最大質量を表す。曲線上が飽和、下側は全部溶ける範囲、上側は超過分が溶け残る。水の量が100 gでないときは比例換算する。つながり：溶解度（ようかいど）／飽和／再結晶（さいけっしょう）</x:v>
      </x:c>
    </x:row>
    <x:row r="45" ht="60" customHeight="1">
      <x:c r="A45" s="100" t="n">
        <x:v>44</x:v>
      </x:c>
      <x:c r="B45" s="18" t="str">
        <x:v>生物に共通する性質</x:v>
      </x:c>
      <x:c r="C45" s="18" t="str">
        <x:v>中学理科で生物として扱うものは、細胞を基本単位として体ができている。外から物質やエネルギーを取り入れ、成長し、刺激に反応するなどの生命活動を行う。生物の集団には世代をつなぐ生殖の性質があるが、個々の個体が必ず子を残すわけではない。つながり：細胞／成長／呼吸／生殖</x:v>
      </x:c>
    </x:row>
    <x:row r="46" ht="60" customHeight="1">
      <x:c r="A46" s="100" t="n">
        <x:v>45</x:v>
      </x:c>
      <x:c r="B46" s="18" t="str">
        <x:v>顕微鏡（けんびきょう）の像とプレパラートの動かし方</x:v>
      </x:c>
      <x:c r="C46" s="18" t="str">
        <x:v>顕微鏡（けんびきょう）の像は上下左右が逆に見える。像を右へ動かしたいときはプレパラートを左へ動かす。見失わないため、先に低倍率で像を視野中央に置く。つながり：倒立像／視野／プレパラート／低倍率</x:v>
      </x:c>
    </x:row>
    <x:row r="47" ht="60" customHeight="1">
      <x:c r="A47" s="100" t="n">
        <x:v>46</x:v>
      </x:c>
      <x:c r="B47" s="18" t="str">
        <x:v>植物の分類手順</x:v>
      </x:c>
      <x:c r="C47" s="18" t="str">
        <x:v>まず種子をつくるかで分け、種子植物なら胚珠（はいしゅ）が子房（しぼう）内か、被子植物（ひししょくぶつ）なら子葉が1枚か2枚かを見る。種子をつくらない植物は維管束（いかんそく）の有無などでシダ植物とコケ植物を分ける。つながり：種子植物／被子植物／単子葉類（たんしようるい）／シダ植物</x:v>
      </x:c>
    </x:row>
    <x:row r="48" ht="60" customHeight="1">
      <x:c r="A48" s="100" t="n">
        <x:v>47</x:v>
      </x:c>
      <x:c r="B48" s="18" t="str">
        <x:v>動物を分類する観点</x:v>
      </x:c>
      <x:c r="C48" s="18" t="str">
        <x:v>背骨の有無を大きな基準とし、脊椎動物（せきついどうぶつ）では呼吸器官・体表・体温・受精（じゅせい）場所・子の生まれ方を比べる。見た目や生活場所だけで決めず、複数の形質を組み合わせる。つながり：脊椎動物／無脊椎動物（むせきついどうぶつ）／形質／分類</x:v>
      </x:c>
    </x:row>
    <x:row r="49" ht="60" customHeight="1">
      <x:c r="A49" s="100" t="n">
        <x:v>48</x:v>
      </x:c>
      <x:c r="B49" s="18" t="str">
        <x:v>プレート</x:v>
      </x:c>
      <x:c r="C49" s="18" t="str">
        <x:v>地殻と上部マントルの一部からなる硬い板状の部分。地球表面を覆い、年数cm程度で動く。境界では地震や火山活動が多い。大陸そのものだけを指す語ではない。つながり：プレート境界／地震／火山／マントル</x:v>
      </x:c>
    </x:row>
    <x:row r="50" ht="60" customHeight="1">
      <x:c r="A50" s="100" t="n">
        <x:v>49</x:v>
      </x:c>
      <x:c r="B50" s="18" t="str">
        <x:v>海洋プレートの沈み込み</x:v>
      </x:c>
      <x:c r="C50" s="18" t="str">
        <x:v>密度の大きい海洋プレートが大陸側のプレートの下へ沈み込み、海溝をつくる。境界の固着と急なずれで地震が起こり、深部で生じたマグマが火山活動につながる。つながり：海溝／震源（しんげん）／マグマ／プレート境界</x:v>
      </x:c>
    </x:row>
    <x:row r="51" ht="60" customHeight="1">
      <x:c r="A51" s="100" t="n">
        <x:v>50</x:v>
      </x:c>
      <x:c r="B51" s="18" t="str">
        <x:v>マグマのねばりけと噴火</x:v>
      </x:c>
      <x:c r="C51" s="18" t="str">
        <x:v>ねばりけが小さい玄武岩質マグマはガスが抜けやすく比較的穏やかで、溶岩が広がりやすい。ねばりけが大きい流紋岩質マグマはガス圧が高まり爆発的噴火になりやすい。つながり：玄武岩質／流紋岩質／火山ガス／噴火</x:v>
      </x:c>
    </x:row>
    <x:row r="52" ht="60" customHeight="1">
      <x:c r="A52" s="100" t="n">
        <x:v>51</x:v>
      </x:c>
      <x:c r="B52" s="18" t="str">
        <x:v>火山岩（かざんがん）と深成岩（しんせいがん）の対応</x:v>
      </x:c>
      <x:c r="C52" s="18" t="str">
        <x:v>白っぽい順に、火山岩（かざんがん）は流紋岩・安山岩・玄武岩、対応する深成岩（しんせいがん）は花こう岩・閃緑岩（せんりょくがん）・斑れい岩（はんれいがん）。同じ列ほど鉱物（こうぶつ）組成が似る。つながり：流紋岩／安山岩／玄武岩／花こう岩</x:v>
      </x:c>
    </x:row>
    <x:row r="53" ht="60" customHeight="1">
      <x:c r="A53" s="100" t="n">
        <x:v>52</x:v>
      </x:c>
      <x:c r="B53" s="18" t="str">
        <x:v>P波とS波</x:v>
      </x:c>
      <x:c r="C53" s="18" t="str">
        <x:v>P波は速く伝わる縦波で、固体・液体・気体を伝わり初期微動（しょきびどう）を起こす。S波は遅い横波で、固体だけを伝わり主要動（しゅようどう）を起こす。液体の外核をS波が通らないことは、地球内部を知る手がかりになる。つながり：初期微動／主要動／縦波／横波</x:v>
      </x:c>
    </x:row>
    <x:row r="54" ht="60" customHeight="1">
      <x:c r="A54" s="100" t="n">
        <x:v>53</x:v>
      </x:c>
      <x:c r="B54" s="18" t="str">
        <x:v>音の高さと振動数（しんどうすう）</x:v>
      </x:c>
      <x:c r="C54" s="18" t="str">
        <x:v>1秒間の振動回数を振動数（しんどうすう）といい、単位はHz。振動数が多いほど高い音、少ないほど低い音になる。同じ時間幅の波形なら、波の個数が多いほど高い。つながり：Hz／周期／波形</x:v>
      </x:c>
    </x:row>
    <x:row r="55" ht="60" customHeight="1">
      <x:c r="A55" s="100" t="n">
        <x:v>54</x:v>
      </x:c>
      <x:c r="B55" s="18" t="str">
        <x:v>力の三要素</x:v>
      </x:c>
      <x:c r="C55" s="18" t="str">
        <x:v>力は大きさ・向き・作用点（さようてん）の三要素で表す。図では作用点から力の向きへ矢印を引き、長さで大きさを表す。矢印の尺度をそろえる。つながり：力の矢印／作用点／合力</x:v>
      </x:c>
    </x:row>
    <x:row r="56" ht="60" customHeight="1">
      <x:c r="A56" s="100" t="n">
        <x:v>55</x:v>
      </x:c>
      <x:c r="B56" s="18" t="str">
        <x:v>力のつり合い</x:v>
      </x:c>
      <x:c r="C56" s="18" t="str">
        <x:v>1つの物体にはたらく2力がつり合う条件は、同一直線上にあり、大きさが等しく、向きが反対。物体は静止または等速直線運動を続ける。つながり：合力／慣性（かんせい）／作用反作用</x:v>
      </x:c>
    </x:row>
    <x:row r="57" ht="60" customHeight="1">
      <x:c r="A57" s="100" t="n">
        <x:v>56</x:v>
      </x:c>
      <x:c r="B57" s="18" t="str">
        <x:v>質量と重さ</x:v>
      </x:c>
      <x:c r="C57" s="18" t="str">
        <x:v>質量は物体そのものの量で場所によらず一定、単位はg・kg。重さは重力の大きさで場所により変わり、単位はN。月面では質量は同じだが重さは地球上の約1/6。つながり：重力／ニュートン／月</x:v>
      </x:c>
    </x:row>
    <x:row r="58" ht="60" customHeight="1">
      <x:c r="A58" s="100" t="n">
        <x:v>57</x:v>
      </x:c>
      <x:c r="B58" s="18" t="str">
        <x:v>圧力</x:v>
      </x:c>
      <x:c r="C58" s="18" t="str">
        <x:v>面を垂直に押す力が単位面積あたりどれほど集中しているかを表す。圧力Pa＝力N÷面積m²。同じ力なら面積が小さいほど圧力は大きい。つながり：パスカル／面積／垂直抗力</x:v>
      </x:c>
    </x:row>
    <x:row r="59" ht="60" customHeight="1">
      <x:c r="A59" s="100" t="n">
        <x:v>58</x:v>
      </x:c>
      <x:c r="B59" s="18" t="str">
        <x:v>質量パーセント濃度</x:v>
      </x:c>
      <x:c r="C59" s="18" t="str">
        <x:v>溶液全体に占める溶質（ようしつ）の質量割合。濃度％＝溶質の質量÷溶液の質量×100、溶液質量＝溶質＋溶媒（ようばい）。分母を水の質量にしない。つながり：溶質／溶液／希釈</x:v>
      </x:c>
    </x:row>
    <x:row r="60" ht="60" customHeight="1">
      <x:c r="A60" s="100" t="n">
        <x:v>59</x:v>
      </x:c>
      <x:c r="B60" s="18" t="str">
        <x:v>純物質と混合物</x:v>
      </x:c>
      <x:c r="C60" s="18" t="str">
        <x:v>1種類の物質だけからなるものが純物質、複数の物質が混ざったものが混合物。純物質は一定圧力で融点（ゆうてん）・沸点（ふってん）が一定。空気や海水は見た目が均一でも混合物。つながり：融点／沸点／分離</x:v>
      </x:c>
    </x:row>
    <x:row r="61" ht="60" customHeight="1">
      <x:c r="A61" s="100" t="n">
        <x:v>60</x:v>
      </x:c>
      <x:c r="B61" s="18" t="str">
        <x:v>初期微動（しょきびどう）継続時間と震源（しんげん）距離</x:v>
      </x:c>
      <x:c r="C61" s="18" t="str">
        <x:v>P波とS波の速さの差によって生じ、震源（しんげん）から遠いほど長くなる。同じ地震なら震源距離にほぼ比例するため、既知地点との比例計算で距離を求められる。地震の規模を直接表す時間ではない。つながり：P波／S波／震源距離／比例</x:v>
      </x:c>
    </x:row>
    <x:row r="62" ht="60" customHeight="1">
      <x:c r="A62" s="100" t="n">
        <x:v>61</x:v>
      </x:c>
      <x:c r="B62" s="18" t="str">
        <x:v>示準化石（しじゅんかせき）と示相化石（しそうかせき）の違い</x:v>
      </x:c>
      <x:c r="C62" s="18" t="str">
        <x:v>示準化石（しじゅんかせき）は『いつ』を示し、短期間・広範囲の生物が適する。示相化石（しそうかせき）は『どんな環境』を示し、生息環境が限られる生物が適する。同じ化石が両方の情報を与えることもある。つながり：年代／堆積（たいせき）環境／地層／化石</x:v>
      </x:c>
    </x:row>
    <x:row r="63" ht="60" customHeight="1">
      <x:c r="A63" s="100" t="n">
        <x:v>62</x:v>
      </x:c>
      <x:c r="B63" s="18" t="str">
        <x:v>柱状図（ちゅうじょうず）</x:v>
      </x:c>
      <x:c r="C63" s="18" t="str">
        <x:v>ある地点の地層を、厚さ・岩質・化石などとともに柱状に表した図。上ほど新しいのが基本。標高の異なる地点を比べるときは、図の上端ではなく同じ標高や鍵層を基準にする。つながり：地層／標高／鍵層／地層対比</x:v>
      </x:c>
    </x:row>
    <x:row r="64" ht="60" customHeight="1">
      <x:c r="A64" s="100" t="n">
        <x:v>63</x:v>
      </x:c>
      <x:c r="B64" s="18" t="str">
        <x:v>密度</x:v>
      </x:c>
      <x:c r="C64" s="18" t="str">
        <x:v>物質1 cm³あたりなどの質量。密度＝質量÷体積、よく使う単位はg/cm³。物質固有の値として同定に使えるが、温度や状態で変化する。つながり：質量／体積／浮沈</x:v>
      </x:c>
    </x:row>
    <x:row r="65" ht="60" customHeight="1">
      <x:c r="A65" s="100" t="n">
        <x:v>64</x:v>
      </x:c>
      <x:c r="B65" s="18" t="str">
        <x:v>電流</x:v>
      </x:c>
      <x:c r="C65" s="18" t="str">
        <x:v>電荷の流れの大きさ。単位はA（アンペア）で、1 A＝1000 mA。回路のある点を1秒間に通る電荷が多いほど電流が大きい。電流計で測る。つながり：アンペア／電流計／電子</x:v>
      </x:c>
    </x:row>
    <x:row r="66" ht="60" customHeight="1">
      <x:c r="A66" s="100" t="n">
        <x:v>65</x:v>
      </x:c>
      <x:c r="B66" s="18" t="str">
        <x:v>電圧</x:v>
      </x:c>
      <x:c r="C66" s="18" t="str">
        <x:v>電流を流そうとするはたらきの大きさで、2点間の電位差。単位はV（ボルト）、電圧計で測る。電圧が同じでも抵抗が違えば電流は異なる。つながり：ボルト／電圧計／オームの法則</x:v>
      </x:c>
    </x:row>
    <x:row r="67" ht="60" customHeight="1">
      <x:c r="A67" s="100" t="n">
        <x:v>66</x:v>
      </x:c>
      <x:c r="B67" s="18" t="str">
        <x:v>電気抵抗</x:v>
      </x:c>
      <x:c r="C67" s="18" t="str">
        <x:v>電流の流れにくさ。単位はΩ（オーム）。同じ電圧なら抵抗が大きいほど電流は小さい。抵抗器では電気エネルギーが熱へ変換される。つながり：オーム／電流／ジュール熱</x:v>
      </x:c>
    </x:row>
    <x:row r="68" ht="60" customHeight="1">
      <x:c r="A68" s="100" t="n">
        <x:v>67</x:v>
      </x:c>
      <x:c r="B68" s="18" t="str">
        <x:v>オームの法則</x:v>
      </x:c>
      <x:c r="C68" s="18" t="str">
        <x:v>導体の温度などが一定なら、流れる電流Iは加えた電圧Vに比例する。V＝IR、I＝V/R、R＝V/I。VはV、IはA、RはΩにそろえる。つながり：電圧／電流／抵抗</x:v>
      </x:c>
    </x:row>
    <x:row r="69" ht="60" customHeight="1">
      <x:c r="A69" s="100" t="n">
        <x:v>68</x:v>
      </x:c>
      <x:c r="B69" s="18" t="str">
        <x:v>直列回路の電流</x:v>
      </x:c>
      <x:c r="C69" s="18" t="str">
        <x:v>分かれ道がないため、回路のどの点でも電流は等しい。I＝I₁＝I₂。各抵抗で電流が「使われて減る」のではなく、電気エネルギーが変換される。つながり：直列回路／電圧／電荷保存</x:v>
      </x:c>
    </x:row>
    <x:row r="70" ht="60" customHeight="1">
      <x:c r="A70" s="100" t="n">
        <x:v>69</x:v>
      </x:c>
      <x:c r="B70" s="18" t="str">
        <x:v>原子</x:v>
      </x:c>
      <x:c r="C70" s="18" t="str">
        <x:v>化学変化でそれ以上分けられない、物質をつくる基本的な粒子。化学変化では原子の組み合わせが変わるだけで、原子の種類と数は保存される。つながり：元素／分子／質量保存</x:v>
      </x:c>
    </x:row>
    <x:row r="71" ht="60" customHeight="1">
      <x:c r="A71" s="100" t="n">
        <x:v>70</x:v>
      </x:c>
      <x:c r="B71" s="18" t="str">
        <x:v>元素</x:v>
      </x:c>
      <x:c r="C71" s="18" t="str">
        <x:v>同じ種類の原子をひとまとめにした概念。物質を構成する原子の種類を表し、元素記号で示す。元素と単体は異なり、酸素元素は水にも含まれるが、酸素という単体はO₂。つながり：原子／元素記号／単体</x:v>
      </x:c>
    </x:row>
    <x:row r="72" ht="60" customHeight="1">
      <x:c r="A72" s="100" t="n">
        <x:v>71</x:v>
      </x:c>
      <x:c r="B72" s="18" t="str">
        <x:v>分子</x:v>
      </x:c>
      <x:c r="C72" s="18" t="str">
        <x:v>物質の性質を示す最小のまとまりとして、複数の原子が結びついた粒子。水H₂Oや酸素O₂は分子からなる。一方、塩化ナトリウムや金属は分子を作らない。つながり：原子／化学式／分子を作らない物質</x:v>
      </x:c>
    </x:row>
    <x:row r="73" ht="60" customHeight="1">
      <x:c r="A73" s="100" t="n">
        <x:v>72</x:v>
      </x:c>
      <x:c r="B73" s="18" t="str">
        <x:v>化学式</x:v>
      </x:c>
      <x:c r="C73" s="18" t="str">
        <x:v>物質を元素記号と数字で表した式。右下の小さい数字は、その粒子内の原子数や原子数の比を示す。数字1は書かない。H₂OはH原子2個とO原子1個。つながり：元素記号／分子／原子数</x:v>
      </x:c>
    </x:row>
    <x:row r="74" ht="60" customHeight="1">
      <x:c r="A74" s="100" t="n">
        <x:v>73</x:v>
      </x:c>
      <x:c r="B74" s="18" t="str">
        <x:v>係数と右下の数字</x:v>
      </x:c>
      <x:c r="C74" s="18" t="str">
        <x:v>2H₂Oの前の2は水分子2個を表し、式全体にかかるためH原子4個・O原子2個。H₂O₂の右下数字は1分子の組成を変える。係数は変えてよいが右下数字は変えない。つながり：化学反応式（かがくはんのうしき）／原子数／化学式</x:v>
      </x:c>
    </x:row>
    <x:row r="75" ht="60" customHeight="1">
      <x:c r="A75" s="100" t="n">
        <x:v>74</x:v>
      </x:c>
      <x:c r="B75" s="18" t="str">
        <x:v>細胞</x:v>
      </x:c>
      <x:c r="C75" s="18" t="str">
        <x:v>生物の体をつくる基本単位。1個の細胞で生活する単細胞生物も、多数の細胞からなる多細胞生物もいる。細胞は成長・呼吸など生命活動の場でもある。つながり：単細胞生物／多細胞生物／核／細胞質</x:v>
      </x:c>
    </x:row>
    <x:row r="76" ht="60" customHeight="1">
      <x:c r="A76" s="100" t="n">
        <x:v>75</x:v>
      </x:c>
      <x:c r="B76" s="18" t="str">
        <x:v>植物細胞と動物細胞の共通部分</x:v>
      </x:c>
      <x:c r="C76" s="18" t="str">
        <x:v>どちらにも核・細胞質・細胞膜がある。核には遺伝（いでん）情報があり、細胞膜は物質の出入りを調節する。植物細胞だけの構造と混同しない。つながり：核／細胞質／細胞膜／遺伝子</x:v>
      </x:c>
    </x:row>
    <x:row r="77" ht="60" customHeight="1">
      <x:c r="A77" s="100" t="n">
        <x:v>76</x:v>
      </x:c>
      <x:c r="B77" s="18" t="str">
        <x:v>植物細胞に特徴的な構造</x:v>
      </x:c>
      <x:c r="C77" s="18" t="str">
        <x:v>細胞壁・葉緑体・発達した液胞が目立つ。細胞壁は形を支え、葉緑体は光合成を行い、液胞には細胞液が入る。根など光合成しない植物細胞には葉緑体がない場合もある。つながり：細胞壁／葉緑体／液胞／植物細胞</x:v>
      </x:c>
    </x:row>
    <x:row r="78" ht="60" customHeight="1">
      <x:c r="A78" s="100" t="n">
        <x:v>77</x:v>
      </x:c>
      <x:c r="B78" s="18" t="str">
        <x:v>維管束（いかんそく）</x:v>
      </x:c>
      <x:c r="C78" s="18" t="str">
        <x:v>道管（どうかん）と師管（しかん）がまとまった束。双子葉類（そうしようるい）の茎では輪状、単子葉類（たんしようるい）の茎では散らばって並ぶ。根・茎・葉を連続してつなぎ、水や養分を運ぶ。つながり：道管／師管／双子葉類／単子葉類</x:v>
      </x:c>
    </x:row>
    <x:row r="79" ht="60" customHeight="1">
      <x:c r="A79" s="100" t="n">
        <x:v>78</x:v>
      </x:c>
      <x:c r="B79" s="18" t="str">
        <x:v>光合成の物質の出入り</x:v>
      </x:c>
      <x:c r="C79" s="18" t="str">
        <x:v>二酸化（さんか）炭素＋水→有機物（デンプンなど）＋酸素、という向きで捉える。光エネルギーを化学エネルギーとして有機物に蓄える反応で、葉緑体で行われる。つながり：二酸化炭素／水／酸素／有機物</x:v>
      </x:c>
    </x:row>
    <x:row r="80" ht="60" customHeight="1">
      <x:c r="A80" s="100" t="n">
        <x:v>79</x:v>
      </x:c>
      <x:c r="B80" s="18" t="str">
        <x:v>飽和水蒸気量（ほうわすいじょうきりょう）</x:v>
      </x:c>
      <x:c r="C80" s="18" t="str">
        <x:v>1 m³の空気がある温度で含むことのできる水蒸気の最大質量。気温が高いほど大きい。『現在含まれる量』ではなく上限なので、気温が変われば値も変わる。つながり：水蒸気／湿度／露点（ろてん）／凝結（ぎょうけつ）</x:v>
      </x:c>
    </x:row>
    <x:row r="81" ht="60" customHeight="1">
      <x:c r="A81" s="100" t="n">
        <x:v>80</x:v>
      </x:c>
      <x:c r="B81" s="18" t="str">
        <x:v>相対湿度の計算</x:v>
      </x:c>
      <x:c r="C81" s="18" t="str">
        <x:v>湿度(%)＝実際の水蒸気量÷その気温での飽和水蒸気量（ほうわすいじょうきりょう）×100。同じ水蒸気量でも気温が下がると飽和水蒸気量が減るため、湿度は上がる。単位をそろえる。つながり：飽和水蒸気量／水蒸気量／気温／露点（ろてん）</x:v>
      </x:c>
    </x:row>
    <x:row r="82" ht="60" customHeight="1">
      <x:c r="A82" s="100" t="n">
        <x:v>81</x:v>
      </x:c>
      <x:c r="B82" s="18" t="str">
        <x:v>露点（ろてん）</x:v>
      </x:c>
      <x:c r="C82" s="18" t="str">
        <x:v>空気を水蒸気量を変えずに冷やしたとき、湿度が100%になり凝結（ぎょうけつ）が始まる温度。露点（ろてん）が高いほど、その空気に実際に含まれる水蒸気量が多い。現在の気温とは別。つながり：凝結／飽和／湿度／水蒸気量</x:v>
      </x:c>
    </x:row>
    <x:row r="83" ht="60" customHeight="1">
      <x:c r="A83" s="100" t="n">
        <x:v>82</x:v>
      </x:c>
      <x:c r="B83" s="18" t="str">
        <x:v>雲のでき方</x:v>
      </x:c>
      <x:c r="C83" s="18" t="str">
        <x:v>湿った空気が上昇すると周囲の気圧が下がって膨張し、温度が下がる。露点（ろてん）に達すると水蒸気が凝結核（ぎょうけつかく）の周りで水滴や氷晶になり、雲ができる。上昇自体が直接水を生むわけではない。つながり：上昇気流／断熱膨張／露点／凝結（ぎょうけつ）核</x:v>
      </x:c>
    </x:row>
    <x:row r="84" ht="60" customHeight="1">
      <x:c r="A84" s="100" t="n">
        <x:v>83</x:v>
      </x:c>
      <x:c r="B84" s="18" t="str">
        <x:v>雲を作る実験</x:v>
      </x:c>
      <x:c r="C84" s="18" t="str">
        <x:v>学校指定の耐圧器具を使い、保護眼鏡を着け、過度に加圧せず栓を人へ向けない。容器内を湿らせ、圧縮後に急に減圧すると空気が膨張・冷却して霧ができる。線香の煙は水滴がつく凝結核（ぎょうけつかく）を供給する。つながり：断熱膨張／凝結（ぎょうけつ）核／霧／気圧</x:v>
      </x:c>
    </x:row>
    <x:row r="85" ht="60" customHeight="1">
      <x:c r="A85" s="100" t="n">
        <x:v>84</x:v>
      </x:c>
      <x:c r="B85" s="18" t="str">
        <x:v>直列回路の電圧</x:v>
      </x:c>
      <x:c r="C85" s="18" t="str">
        <x:v>電源電圧は各抵抗にかかる電圧の和。V＝V₁＋V₂。直列の各抵抗には同じ電流が流れるため、抵抗が大きい部分ほど電圧も大きく分配される。つながり：直列回路／電圧分配／オームの法則</x:v>
      </x:c>
    </x:row>
    <x:row r="86" ht="60" customHeight="1">
      <x:c r="A86" s="100" t="n">
        <x:v>85</x:v>
      </x:c>
      <x:c r="B86" s="18" t="str">
        <x:v>並列回路の電流</x:v>
      </x:c>
      <x:c r="C86" s="18" t="str">
        <x:v>分岐前の電流は各枝を流れる電流の和。I＝I₁＋I₂。抵抗が小さい枝ほど大きな電流が流れる。合流後は再び枝電流の合計になる。つながり：並列回路／分岐／電荷保存</x:v>
      </x:c>
    </x:row>
    <x:row r="87" ht="60" customHeight="1">
      <x:c r="A87" s="100" t="n">
        <x:v>86</x:v>
      </x:c>
      <x:c r="B87" s="18" t="str">
        <x:v>並列回路の電圧</x:v>
      </x:c>
      <x:c r="C87" s="18" t="str">
        <x:v>各枝の両端が同じ2点につながるため、各枝と電源の電圧は等しい。V＝V₁＝V₂。家庭の器具が並列なのは、各器具に一定の電圧をかけ独立に使うため。つながり：並列回路／家庭回路／電流</x:v>
      </x:c>
    </x:row>
    <x:row r="88" ht="60" customHeight="1">
      <x:c r="A88" s="100" t="n">
        <x:v>87</x:v>
      </x:c>
      <x:c r="B88" s="18" t="str">
        <x:v>電流計のつなぎ方</x:v>
      </x:c>
      <x:c r="C88" s="18" t="str">
        <x:v>測りたい部分に直列につなぎ、＋端子から電流を入れる。予想できないときは最大の−端子から始める。電流計を電源へ直接並列につなぐと大電流が流れ危険。つながり：直列接続／端子／過電流</x:v>
      </x:c>
    </x:row>
    <x:row r="89" ht="60" customHeight="1">
      <x:c r="A89" s="100" t="n">
        <x:v>88</x:v>
      </x:c>
      <x:c r="B89" s="18" t="str">
        <x:v>電圧計のつなぎ方</x:v>
      </x:c>
      <x:c r="C89" s="18" t="str">
        <x:v>電圧を測りたい部分の両端に並列につなぎ、＋側を＋端子へ入れる。内部抵抗が大きく、回路を流れる電流をほとんど変えない。予想できないときは最大レンジから。つながり：並列接続／端子／電位差</x:v>
      </x:c>
    </x:row>
    <x:row r="90" ht="60" customHeight="1">
      <x:c r="A90" s="100" t="n">
        <x:v>89</x:v>
      </x:c>
      <x:c r="B90" s="18" t="str">
        <x:v>物理変化と化学変化</x:v>
      </x:c>
      <x:c r="C90" s="18" t="str">
        <x:v>物理変化は状態や形が変わっても物質の種類が同じ。化学変化は原子の組み合わせが変わり別の物質ができる。融解（ゆうかい）は物理変化、燃焼や分解は化学変化。つながり：状態変化／化学反応／原子</x:v>
      </x:c>
    </x:row>
    <x:row r="91" ht="60" customHeight="1">
      <x:c r="A91" s="100" t="n">
        <x:v>90</x:v>
      </x:c>
      <x:c r="B91" s="18" t="str">
        <x:v>化学反応式（かがくはんのうしき）</x:v>
      </x:c>
      <x:c r="C91" s="18" t="str">
        <x:v>反応物を左辺、生成物を右辺に化学式で書き矢印で結ぶ。両辺で各元素の原子数が等しくなるよう係数を最小の整数比で付ける。化学式の右下数字は変えない。つながり：係数／質量保存／原子数</x:v>
      </x:c>
    </x:row>
    <x:row r="92" ht="60" customHeight="1">
      <x:c r="A92" s="100" t="n">
        <x:v>91</x:v>
      </x:c>
      <x:c r="B92" s="18" t="str">
        <x:v>化学反応式（かがくはんのうしき）の合わせ方</x:v>
      </x:c>
      <x:c r="C92" s="18" t="str">
        <x:v>①正しい化学式を書く、②複雑な物質から元素ごとに原子数を合わせる、③最後に全元素を確認、④係数を最小整数比にする。H₂＋O₂→H₂Oなら2H₂＋O₂→2H₂O。つながり：原子数保存／係数／化学式</x:v>
      </x:c>
    </x:row>
    <x:row r="93" ht="60" customHeight="1">
      <x:c r="A93" s="100" t="n">
        <x:v>92</x:v>
      </x:c>
      <x:c r="B93" s="18" t="str">
        <x:v>水の電気分解</x:v>
      </x:c>
      <x:c r="C93" s="18" t="str">
        <x:v>純水は電流を通しにくいため水酸化（さんか）ナトリウムなどを少量加える。陰極（いんきょく）に水素、陽極（ようきょく）に酸素が体積比2：1で生じ、2H₂O→2H₂＋O₂。保護眼鏡を着け、液が付いたら直ちに多量の水で洗う。つながり：水素／酸素／体積比</x:v>
      </x:c>
    </x:row>
    <x:row r="94" ht="60" customHeight="1">
      <x:c r="A94" s="100" t="n">
        <x:v>93</x:v>
      </x:c>
      <x:c r="B94" s="18" t="str">
        <x:v>化学変化と質量保存の法則</x:v>
      </x:c>
      <x:c r="C94" s="18" t="str">
        <x:v>化学変化の前後で、反応に関わる物質全体の質量は変わらない。原子の種類と数が保存され、組み合わせだけが変わるため。気体も含めた閉じた系で測る。つながり：原子数保存／密閉系／化学反応式（かがくはんのうしき）</x:v>
      </x:c>
    </x:row>
    <x:row r="95" ht="60" customHeight="1">
      <x:c r="A95" s="100" t="n">
        <x:v>94</x:v>
      </x:c>
      <x:c r="B95" s="18" t="str">
        <x:v>植物の呼吸</x:v>
      </x:c>
      <x:c r="C95" s="18" t="str">
        <x:v>植物も昼夜を通して、細胞で有機物と酸素を使い、二酸化（さんか）炭素と水を生じながらエネルギーを取り出す。昼は光合成量が呼吸量を上回りやすく、見かけ上は二酸化炭素を吸収する。つながり：細胞呼吸／光合成／酸素／二酸化炭素</x:v>
      </x:c>
    </x:row>
    <x:row r="96" ht="60" customHeight="1">
      <x:c r="A96" s="100" t="n">
        <x:v>95</x:v>
      </x:c>
      <x:c r="B96" s="18" t="str">
        <x:v>蒸散（じょうさん）量を比べるワセリン実験</x:v>
      </x:c>
      <x:c r="C96" s="18" t="str">
        <x:v>葉の表・裏にワセリンを塗って気孔（きこう）をふさぎ、水の減少量を比べる。『葉なし』の減少量を茎などからの蒸発分として差し引く。多くの陸上植物では裏面の気孔が多く、裏をふさぐ影響が大きい。つながり：気孔／ワセリン／対照実験（たいしょうじっけん）／水の減少量</x:v>
      </x:c>
    </x:row>
    <x:row r="97" ht="60" customHeight="1">
      <x:c r="A97" s="100" t="n">
        <x:v>96</x:v>
      </x:c>
      <x:c r="B97" s="18" t="str">
        <x:v>三大栄養素</x:v>
      </x:c>
      <x:c r="C97" s="18" t="str">
        <x:v>炭水化物・タンパク質・脂肪。消化後、炭水化物は主にブドウ糖、タンパク質はアミノ酸、脂肪は脂肪酸とモノグリセリドなどとして吸収される。ビタミン・無機物・水は基本的に消化せず吸収できる。つながり：ブドウ糖／アミノ酸／脂肪酸／消化</x:v>
      </x:c>
    </x:row>
    <x:row r="98" ht="60" customHeight="1">
      <x:c r="A98" s="100" t="n">
        <x:v>97</x:v>
      </x:c>
      <x:c r="B98" s="18" t="str">
        <x:v>消化酵素（しょうかこうそ）</x:v>
      </x:c>
      <x:c r="C98" s="18" t="str">
        <x:v>消化液に含まれ、特定の栄養素を体温程度の温度で分解する物質。自身は反応の前後でほとんど変化せず、少量ではたらく。酵素ごとにはたらく相手が決まっている。つながり：アミラーゼ／ペプシン／リパーゼ／消化液</x:v>
      </x:c>
    </x:row>
    <x:row r="99" ht="60" customHeight="1">
      <x:c r="A99" s="100" t="n">
        <x:v>98</x:v>
      </x:c>
      <x:c r="B99" s="18" t="str">
        <x:v>だ液の実験で温度をそろえる理由</x:v>
      </x:c>
      <x:c r="C99" s="18" t="str">
        <x:v>酵素のはたらきは温度に左右されるため、だ液あり・なし以外を同じ条件にする。体温に近い約40℃の湯で一定時間保ち、水だけの試験管を対照にする。沸騰させると酵素が変性する。つながり：対照実験（たいしょうじっけん）／アミラーゼ／温度／変性</x:v>
      </x:c>
    </x:row>
    <x:row r="100" ht="60" customHeight="1">
      <x:c r="A100" s="100" t="n">
        <x:v>99</x:v>
      </x:c>
      <x:c r="B100" s="18" t="str">
        <x:v>風が吹く基本原理</x:v>
      </x:c>
      <x:c r="C100" s="18" t="str">
        <x:v>水平方向の気圧差による力で、空気は基本的に高気圧側から低気圧側へ動き始める。実際の大規模な風は地球の自転の影響で進路を曲げられ、地表付近では摩擦も受けるため、等圧線（とうあつせん）に直角な直線とは限らない。つながり：気圧差／高気圧／低気圧／地球の自転</x:v>
      </x:c>
    </x:row>
    <x:row r="101" ht="60" customHeight="1">
      <x:c r="A101" s="100" t="n">
        <x:v>100</x:v>
      </x:c>
      <x:c r="B101" s="18" t="str">
        <x:v>等圧線（とうあつせん）</x:v>
      </x:c>
      <x:c r="C101" s="18" t="str">
        <x:v>同じ時刻に気圧が等しい地点を結んだ線。通常4 hPaごとに描く。間隔が狭いほど水平気圧差が大きく、一般に風が強い。枝分かれしたり交差したりしない。つながり：気圧／天気図／風速／高気圧</x:v>
      </x:c>
    </x:row>
    <x:row r="102" ht="60" customHeight="1">
      <x:c r="A102" s="100" t="n">
        <x:v>101</x:v>
      </x:c>
      <x:c r="B102" s="18" t="str">
        <x:v>低気圧付近の風と天気</x:v>
      </x:c>
      <x:c r="C102" s="18" t="str">
        <x:v>北半球では地表付近の風が反時計回りに吹き込み、上昇気流となる。空気が冷えて雲や雨が生じやすい。中心へ完全な直線で吹くのではなく、回転しながら収束する。つながり：上昇気流／反時計回り／雲／北半球</x:v>
      </x:c>
    </x:row>
    <x:row r="103" ht="60" customHeight="1">
      <x:c r="A103" s="100" t="n">
        <x:v>102</x:v>
      </x:c>
      <x:c r="B103" s="18" t="str">
        <x:v>温暖前線（おんだんぜんせん）と寒冷前線（かんれいぜんせん）の断面</x:v>
      </x:c>
      <x:c r="C103" s="18" t="str">
        <x:v>温暖前線（おんだんぜんせん）は傾斜が緩く雲・雨域が前線（ぜんせん）の前方へ広がる。寒冷前線（かんれいぜんせん）は傾斜が急で、前線付近に積乱雲が並びやすい。暖気はどちらでも密度の大きい寒気の上に上がる。つながり：前線面／暖気／寒気／雲の種類</x:v>
      </x:c>
    </x:row>
    <x:row r="104" ht="60" customHeight="1">
      <x:c r="A104" s="100" t="n">
        <x:v>103</x:v>
      </x:c>
      <x:c r="B104" s="18" t="str">
        <x:v>冬型の気圧配置</x:v>
      </x:c>
      <x:c r="C104" s="18" t="str">
        <x:v>西高東低。シベリア高気圧から北西季節風が吹き、日本海で水蒸気を得て山地で雪を降らせる。日本海側は雪や曇り、山を越えた太平洋側は乾燥した晴天になりやすい。つながり：西高東低／北西季節風／日本海側／太平洋側</x:v>
      </x:c>
    </x:row>
    <x:row r="105" ht="60" customHeight="1">
      <x:c r="A105" s="100" t="n">
        <x:v>104</x:v>
      </x:c>
      <x:c r="B105" s="18" t="str">
        <x:v>電力</x:v>
      </x:c>
      <x:c r="C105" s="18" t="str">
        <x:v>電気器具が1秒あたりに変換する電気エネルギー。電力P＝電圧V×電流I、単位はW。1 W＝1 J/s。同じ時間なら電力が大きいほど使う電気エネルギーも大きい。つながり：ワット／電力量／電圧</x:v>
      </x:c>
    </x:row>
    <x:row r="106" ht="60" customHeight="1">
      <x:c r="A106" s="100" t="n">
        <x:v>105</x:v>
      </x:c>
      <x:c r="B106" s="18" t="str">
        <x:v>一定の質量比</x:v>
      </x:c>
      <x:c r="C106" s="18" t="str">
        <x:v>同じ化合物をつくる元素の質量比は常に一定。例えば銅と酸素が酸化（さんか）銅になる質量比は約4：1、マグネシウムと酸素は約3：2。反応物の量を増やしても比は変わらない。つながり：定比例／酸化銅／酸化マグネシウム</x:v>
      </x:c>
    </x:row>
    <x:row r="107" ht="60" customHeight="1">
      <x:c r="A107" s="100" t="n">
        <x:v>106</x:v>
      </x:c>
      <x:c r="B107" s="18" t="str">
        <x:v>不足する反応物と余る反応物</x:v>
      </x:c>
      <x:c r="C107" s="18" t="str">
        <x:v>一定の質量比より一方を多く混ぜても、少ない側を使い切った時点で反応は止まり、もう一方が余る。生成物量は不足する側の量で決まる。つながり：限界反応物／質量比／生成物</x:v>
      </x:c>
    </x:row>
    <x:row r="108" ht="60" customHeight="1">
      <x:c r="A108" s="100" t="n">
        <x:v>107</x:v>
      </x:c>
      <x:c r="B108" s="18" t="str">
        <x:v>肺での気体交換</x:v>
      </x:c>
      <x:c r="C108" s="18" t="str">
        <x:v>肺胞（はいほう）内の酸素が血液へ、血液中の二酸化（さんか）炭素が肺胞へ、濃度差に従って移動する。酸素は主に赤血球のヘモグロビンと結びついて運ばれる。つながり：肺胞／酸素／二酸化炭素／ヘモグロビン</x:v>
      </x:c>
    </x:row>
    <x:row r="109" ht="60" customHeight="1">
      <x:c r="A109" s="100" t="n">
        <x:v>108</x:v>
      </x:c>
      <x:c r="B109" s="18" t="str">
        <x:v>心臓を通る血液の順序</x:v>
      </x:c>
      <x:c r="C109" s="18" t="str">
        <x:v>全身→大静脈→右心房→右心室→肺動脈→肺→肺静脈→左心房→左心室→大動脈→全身。心臓の図は左右が観察者と逆に描かれることが多い。つながり：大静脈／肺動脈／肺静脈／大動脈</x:v>
      </x:c>
    </x:row>
    <x:row r="110" ht="60" customHeight="1">
      <x:c r="A110" s="100" t="n">
        <x:v>109</x:v>
      </x:c>
      <x:c r="B110" s="18" t="str">
        <x:v>体循環と肺循環</x:v>
      </x:c>
      <x:c r="C110" s="18" t="str">
        <x:v>体循環は左心室→大動脈→全身→大静脈→右心房。肺循環は右心室→肺動脈→肺→肺静脈→左心房。1回の全身循環で心臓を2回通る。つながり：体循環／肺循環／左心室／右心室</x:v>
      </x:c>
    </x:row>
    <x:row r="111" ht="60" customHeight="1">
      <x:c r="A111" s="100" t="n">
        <x:v>110</x:v>
      </x:c>
      <x:c r="B111" s="18" t="str">
        <x:v>刺激から意識的な反応まで</x:v>
      </x:c>
      <x:c r="C111" s="18" t="str">
        <x:v>受容器→感覚神経→脳などの中枢神経→運動神経→筋肉などの効果器、の順に信号が伝わる。感覚神経と運動神経の向きを逆にしない。つながり：受容器／感覚神経／中枢神経／効果器</x:v>
      </x:c>
    </x:row>
    <x:row r="112" ht="60" customHeight="1">
      <x:c r="A112" s="100" t="n">
        <x:v>111</x:v>
      </x:c>
      <x:c r="B112" s="18" t="str">
        <x:v>反射（はんしゃ）運動</x:v>
      </x:c>
      <x:c r="C112" s="18" t="str">
        <x:v>刺激に対して意識的な判断より先に起こる、決まった素早い反応。熱い物から手を引く場合、主に脊髄で命令が返され、その後に信号が脳へ届いて熱さを感じる。つながり：脊髄／反射（はんしゃ）弓／感覚神経／運動神経</x:v>
      </x:c>
    </x:row>
    <x:row r="113" ht="60" customHeight="1">
      <x:c r="A113" s="100" t="n">
        <x:v>112</x:v>
      </x:c>
      <x:c r="B113" s="18" t="str">
        <x:v>栄養素の消化・吸収の比較</x:v>
      </x:c>
      <x:c r="C113" s="18" t="str">
        <x:v>栄養素｜主な消化液・酵素｜最終産物｜主な吸収先｜
デンプン｜だ液・膵液のアミラーゼ、腸液の酵素｜ブドウ糖｜毛細血管｜
タンパク質｜胃液のペプシン、膵液のトリプシン、腸液の酵素｜アミノ酸｜毛細血管｜
脂肪｜胆汁で乳化後、膵液のリパーゼ｜脂肪酸とモノグリセリドなど｜主にリンパ管｜
胆汁自体は消化酵素（しょうかこうそ）を含まず、吸収は主に小腸の絨毛で行われる。つながり：消化酵素／絨毛／毛細血管／リンパ管</x:v>
      </x:c>
    </x:row>
    <x:row r="114" ht="60" customHeight="1">
      <x:c r="A114" s="100" t="n">
        <x:v>113</x:v>
      </x:c>
      <x:c r="B114" s="18" t="str">
        <x:v>速さ</x:v>
      </x:c>
      <x:c r="C114" s="18" t="str">
        <x:v>単位時間あたりに進む距離。速さ＝距離÷時間、距離＝速さ×時間、時間＝距離÷速さ。向きを含む速度とは異なるが、中学では速さを中心に扱う。つながり：距離／時間／平均の速さ</x:v>
      </x:c>
    </x:row>
    <x:row r="115" ht="60" customHeight="1">
      <x:c r="A115" s="100" t="n">
        <x:v>114</x:v>
      </x:c>
      <x:c r="B115" s="18" t="str">
        <x:v>移動距離―時間グラフ</x:v>
      </x:c>
      <x:c r="C115" s="18" t="str">
        <x:v>横軸が時間、縦軸が移動距離なら、傾きが速さを表し、急ほど速い。水平なら移動していない。位置―時間グラフでは傾きの符号が運動の向き、絶対値が速さを表すので区別する。つながり：傾き／速さ／位置</x:v>
      </x:c>
    </x:row>
    <x:row r="116" ht="60" customHeight="1">
      <x:c r="A116" s="100" t="n">
        <x:v>115</x:v>
      </x:c>
      <x:c r="B116" s="18" t="str">
        <x:v>慣性（かんせい）</x:v>
      </x:c>
      <x:c r="C116" s="18" t="str">
        <x:v>物体が現在の運動状態を保とうとする性質。合力が0なら、静止物体は静止を、運動物体は等速直線運動を続ける。力がなければ運動が止まる、は摩擦を見落とした誤解。つながり：等速直線運動／合力／摩擦</x:v>
      </x:c>
    </x:row>
    <x:row r="117" ht="60" customHeight="1">
      <x:c r="A117" s="100" t="n">
        <x:v>116</x:v>
      </x:c>
      <x:c r="B117" s="18" t="str">
        <x:v>作用・反作用</x:v>
      </x:c>
      <x:c r="C117" s="18" t="str">
        <x:v>物体AがBに力を及ぼすと、同時にBもAへ大きさが等しく向きが反対の力を及ぼす。2力は別々の物体にはたらくため、同一物体上の力のつり合いではない。つながり：力のつり合い／垂直抗力／反作用</x:v>
      </x:c>
    </x:row>
    <x:row r="118" ht="60" customHeight="1">
      <x:c r="A118" s="100" t="n">
        <x:v>117</x:v>
      </x:c>
      <x:c r="B118" s="18" t="str">
        <x:v>位置エネルギー</x:v>
      </x:c>
      <x:c r="C118" s="18" t="str">
        <x:v>高い位置にある物体が持つエネルギー。基準面からの高さと質量が大きいほど大きく、重力による位置エネルギーは「重さN×高さm」でJになる。基準面の選び方に注意。つながり：重力／高さ／運動エネルギー</x:v>
      </x:c>
    </x:row>
    <x:row r="119" ht="60" customHeight="1">
      <x:c r="A119" s="100" t="n">
        <x:v>118</x:v>
      </x:c>
      <x:c r="B119" s="18" t="str">
        <x:v>イオン</x:v>
      </x:c>
      <x:c r="C119" s="18" t="str">
        <x:v>原子や原子団が電子を失ったり受け取ったりして電気を帯びた粒子。電子を失うと陽イオン（よういおん）、受け取ると陰イオン（いんいおん）。原子核（げんしかく）の陽子（ようし）数は化学変化では変わらない。つながり：陽イオン／陰イオン／電子</x:v>
      </x:c>
    </x:row>
    <x:row r="120" ht="60" customHeight="1">
      <x:c r="A120" s="100" t="n">
        <x:v>119</x:v>
      </x:c>
      <x:c r="B120" s="18" t="str">
        <x:v>原子がイオンになるときの電子</x:v>
      </x:c>
      <x:c r="C120" s="18" t="str">
        <x:v>ナトリウム原子は電子1個を失いNa⁺、塩素原子は電子1個を受け取りCl⁻。イオンになるのは電子の出入りであり、陽子（ようし）や中性子（ちゅうせいし）が移動するのではない。つながり：Na+／Cl-／電子移動</x:v>
      </x:c>
    </x:row>
    <x:row r="121" ht="60" customHeight="1">
      <x:c r="A121" s="100" t="n">
        <x:v>120</x:v>
      </x:c>
      <x:c r="B121" s="18" t="str">
        <x:v>電解質（でんかいしつ）と非電解質（ひでんかいしつ）</x:v>
      </x:c>
      <x:c r="C121" s="18" t="str">
        <x:v>水に溶けたときイオンに分かれ、水溶液が電流を通す物質が電解質（でんかいしつ）。食塩・塩酸・水酸化（さんか）ナトリウムなど。砂糖やエタノールは溶けてもイオンにならず非電解質（ひでんかいしつ）。つながり：電離（でんり）／導電性／イオン</x:v>
      </x:c>
    </x:row>
    <x:row r="122" ht="60" customHeight="1">
      <x:c r="A122" s="100" t="n">
        <x:v>121</x:v>
      </x:c>
      <x:c r="B122" s="18" t="str">
        <x:v>電離（でんり）</x:v>
      </x:c>
      <x:c r="C122" s="18" t="str">
        <x:v>電解質（でんかいしつ）が水に溶けて陽イオン（よういおん）と陰イオン（いんいおん）に分かれること。NaCl→Na⁺＋Cl⁻。水溶液全体では正負の電荷総量が等しく、電気的に中性。つながり：電解質／陽イオン／陰イオン</x:v>
      </x:c>
    </x:row>
    <x:row r="123" ht="60" customHeight="1">
      <x:c r="A123" s="100" t="n">
        <x:v>122</x:v>
      </x:c>
      <x:c r="B123" s="18" t="str">
        <x:v>酸の共通性</x:v>
      </x:c>
      <x:c r="C123" s="18" t="str">
        <x:v>水溶液中でH⁺を生じ、青色リトマス紙を赤にし、BTBを黄色にする。多くはマグネシウムなどの金属と反応して水素を発生させる。酸性を示すのは水溶液中。つながり：水素イオン／指示薬／水素</x:v>
      </x:c>
    </x:row>
    <x:row r="124" ht="60" customHeight="1">
      <x:c r="A124" s="100" t="n">
        <x:v>123</x:v>
      </x:c>
      <x:c r="B124" s="18" t="str">
        <x:v>進化</x:v>
      </x:c>
      <x:c r="C124" s="18" t="str">
        <x:v>生物の集団の遺伝（いでん）的な性質が、長い世代を通して変化すること。個体が必要に応じて一生の間に変身することではない。化石・相同器官（そうどうきかん）・DNAの比較などが証拠になる。つながり：遺伝／自然選択／化石／相同器官</x:v>
      </x:c>
    </x:row>
    <x:row r="125" ht="60" customHeight="1">
      <x:c r="A125" s="100" t="n">
        <x:v>124</x:v>
      </x:c>
      <x:c r="B125" s="18" t="str">
        <x:v>減数分裂（げんすうぶんれつ）</x:v>
      </x:c>
      <x:c r="C125" s="18" t="str">
        <x:v>生殖細胞がつくられるときに、染色体数が体細胞の半分になる特別な細胞分裂。受精（じゅせい）で精子と卵の染色体が合わさり、受精卵では元の数に戻るため、世代ごとに倍増しない。つながり：生殖細胞／染色体数／受精／体細胞分裂</x:v>
      </x:c>
    </x:row>
    <x:row r="126" ht="60" customHeight="1">
      <x:c r="A126" s="100" t="n">
        <x:v>125</x:v>
      </x:c>
      <x:c r="B126" s="18" t="str">
        <x:v>体細胞分裂</x:v>
      </x:c>
      <x:c r="C126" s="18" t="str">
        <x:v>1個の体細胞が、染色体の数と遺伝（いでん）情報が基本的に同じ2個の娘細胞に分かれること。成長・傷の修復・無性生殖（むせいせいしょく）などに使われる。分裂前にDNAが複製される。つながり：染色体／DNA複製／成長／娘細胞</x:v>
      </x:c>
    </x:row>
    <x:row r="127" ht="60" customHeight="1">
      <x:c r="A127" s="100" t="n">
        <x:v>126</x:v>
      </x:c>
      <x:c r="B127" s="18" t="str">
        <x:v>染色体・DNA・遺伝（いでん）子の関係</x:v>
      </x:c>
      <x:c r="C127" s="18" t="str">
        <x:v>染色体の主成分の一つがDNAで、DNA上の特定の情報単位が遺伝（いでん）子。遺伝子は形質に関わる情報をもつ。『染色体の中に細胞がある』など階層を逆にしない。つながり：染色体／DNA／遺伝子／形質</x:v>
      </x:c>
    </x:row>
    <x:row r="128" ht="60" customHeight="1">
      <x:c r="A128" s="100" t="n">
        <x:v>127</x:v>
      </x:c>
      <x:c r="B128" s="18" t="str">
        <x:v>有性生殖（ゆうせいせいしょく）</x:v>
      </x:c>
      <x:c r="C128" s="18" t="str">
        <x:v>精子と卵など雌雄の生殖細胞が受精（じゅせい）し、新しい個体ができる生殖。両親から遺伝（いでん）情報を受け継ぐため、子に多様な組み合わせが生じる。つながり：精子／卵／受精／遺伝的多様性</x:v>
      </x:c>
    </x:row>
    <x:row r="129" ht="60" customHeight="1">
      <x:c r="A129" s="100" t="n">
        <x:v>128</x:v>
      </x:c>
      <x:c r="B129" s="18" t="str">
        <x:v>天体の日周運動（にっしゅううんどう）</x:v>
      </x:c>
      <x:c r="C129" s="18" t="str">
        <x:v>太陽・月・星が1日に東から西へ動いて見える現象。地球が西から東へ約24時間で自転するため、天球が反対向きに回るように見える見かけの運動。つながり：地球の自転／東／西／見かけの運動</x:v>
      </x:c>
    </x:row>
    <x:row r="130" ht="60" customHeight="1">
      <x:c r="A130" s="100" t="n">
        <x:v>129</x:v>
      </x:c>
      <x:c r="B130" s="18" t="str">
        <x:v>北の空の星の動き</x:v>
      </x:c>
      <x:c r="C130" s="18" t="str">
        <x:v>北極星付近を中心に、時間とともに反時計回りに回って見える。北極星は天の北極に近いためほとんど動かない。写真の円弧の中心から北の方向を判断できる。つながり：北極星／天の北極／反時計回り／星の軌跡</x:v>
      </x:c>
    </x:row>
    <x:row r="131" ht="60" customHeight="1">
      <x:c r="A131" s="100" t="n">
        <x:v>130</x:v>
      </x:c>
      <x:c r="B131" s="18" t="str">
        <x:v>星の年周運動（ねんしゅううんどう）</x:v>
      </x:c>
      <x:c r="C131" s="18" t="str">
        <x:v>同じ時刻に星座を観察すると、日ごとに約1°、1か月で約30°西へ移って見える。地球の公転により、夜に向く宇宙の方向が変わるため。約1年で元に戻る。つながり：地球の公転／星座／1か月30度／季節</x:v>
      </x:c>
    </x:row>
    <x:row r="132" ht="60" customHeight="1">
      <x:c r="A132" s="100" t="n">
        <x:v>131</x:v>
      </x:c>
      <x:c r="B132" s="18" t="str">
        <x:v>季節が生じる理由</x:v>
      </x:c>
      <x:c r="C132" s="18" t="str">
        <x:v>地軸が公転面に垂直な方向から傾いたまま地球が公転するため、太陽の南中高度（なんちゅうこうど）と昼の長さが季節で変わり、単位面積が受ける日射量が変化する。太陽との距離変化が主因ではない。つながり：地軸の傾き／南中高度／昼の長さ／日射量</x:v>
      </x:c>
    </x:row>
    <x:row r="133" ht="60" customHeight="1">
      <x:c r="A133" s="100" t="n">
        <x:v>132</x:v>
      </x:c>
      <x:c r="B133" s="18" t="str">
        <x:v>太陽の南中高度（なんちゅうこうど）の計算</x:v>
      </x:c>
      <x:c r="C133" s="18" t="str">
        <x:v>日本の大部分など北緯φが23.4°以上の北半球中緯度では、春分・秋分は90°－φ、夏至は90°－φ＋23.4°、冬至は90°－φ－23.4°。一般には太陽の赤緯δを使い、南中時の高度を90°－|φ－δ|で求める。つながり：緯度／夏至／冬至／地軸の傾き</x:v>
      </x:c>
    </x:row>
    <x:row r="134" ht="60" customHeight="1">
      <x:c r="A134" s="100" t="n">
        <x:v>133</x:v>
      </x:c>
      <x:c r="B134" s="18" t="str">
        <x:v>運動エネルギー</x:v>
      </x:c>
      <x:c r="C134" s="18" t="str">
        <x:v>運動している物体が持つエネルギー。質量が大きいほど、速さが大きいほど大きい。特に速さの2乗に比例するため、速さが2倍なら運動エネルギーは4倍。つながり：速さ／質量／位置エネルギー</x:v>
      </x:c>
    </x:row>
    <x:row r="135" ht="60" customHeight="1">
      <x:c r="A135" s="100" t="n">
        <x:v>134</x:v>
      </x:c>
      <x:c r="B135" s="18" t="str">
        <x:v>力学的エネルギー（りきがくてきえねるぎー）保存</x:v>
      </x:c>
      <x:c r="C135" s="18" t="str">
        <x:v>摩擦や空気抵抗を無視できるとき、位置エネルギー＋運動エネルギーは一定。落下では位置が減った分だけ運動が増える。各エネルギー単独が一定なのではない。つながり：位置エネルギー／運動エネルギー／自由落下</x:v>
      </x:c>
    </x:row>
    <x:row r="136" ht="60" customHeight="1">
      <x:c r="A136" s="100" t="n">
        <x:v>135</x:v>
      </x:c>
      <x:c r="B136" s="18" t="str">
        <x:v>アルカリの共通性</x:v>
      </x:c>
      <x:c r="C136" s="18" t="str">
        <x:v>水溶液中でOH⁻を生じ、赤色リトマス紙を青にし、BTBを青にする。手触りを直接確かめてはいけない。水に溶ける塩基をアルカリという。つながり：水酸化（さんか）物イオン／指示薬／中和（ちゅうわ）</x:v>
      </x:c>
    </x:row>
    <x:row r="137" ht="60" customHeight="1">
      <x:c r="A137" s="100" t="n">
        <x:v>136</x:v>
      </x:c>
      <x:c r="B137" s="18" t="str">
        <x:v>中和（ちゅうわ）</x:v>
      </x:c>
      <x:c r="C137" s="18" t="str">
        <x:v>酸のH⁺とアルカリのOH⁻が反応して水になる反応。H⁺＋OH⁻→H₂O。同時に、残った陽イオン（よういおん）と陰イオン（いんいおん）から塩ができる。通常は発熱する。つながり：水素イオン／水酸化（さんか）物イオン／塩</x:v>
      </x:c>
    </x:row>
    <x:row r="138" ht="60" customHeight="1">
      <x:c r="A138" s="100" t="n">
        <x:v>137</x:v>
      </x:c>
      <x:c r="B138" s="18" t="str">
        <x:v>中和（ちゅうわ）と中性の違い</x:v>
      </x:c>
      <x:c r="C138" s="18" t="str">
        <x:v>中和（ちゅうわ）はH⁺とOH⁻が反応する現象で、途中でも起こる。中性はH⁺とOH⁻が過不足なくなった状態。酸やアルカリが余れば、中和が起きていても液は酸性またはアルカリ性。つながり：過不足／pH／中和点</x:v>
      </x:c>
    </x:row>
    <x:row r="139" ht="60" customHeight="1">
      <x:c r="A139" s="100" t="n">
        <x:v>138</x:v>
      </x:c>
      <x:c r="B139" s="18" t="str">
        <x:v>化学電池</x:v>
      </x:c>
      <x:c r="C139" s="18" t="str">
        <x:v>酸化（さんか）還元（かんげん）反応の化学エネルギーを電気エネルギーへ変える装置。中学で扱う基本的な金属電池では、2種類の金属などと電解質（でんかいしつ）水溶液を用い、イオンになりやすさの差で電子を流す。つながり：酸化還元／電解質／電子</x:v>
      </x:c>
    </x:row>
    <x:row r="140" ht="60" customHeight="1">
      <x:c r="A140" s="100" t="n">
        <x:v>139</x:v>
      </x:c>
      <x:c r="B140" s="18" t="str">
        <x:v>電池内の電子と電流の向き</x:v>
      </x:c>
      <x:c r="C140" s="18" t="str">
        <x:v>外部回路の電子は−極から＋極へ流れ、電流の向きはその逆で＋極から−極。電解質（でんかいしつ）中ではイオンが移動して電荷の偏りを防ぎ、回路を成立させる。つながり：電子／電流／イオン移動</x:v>
      </x:c>
    </x:row>
    <x:row r="141" ht="60" customHeight="1">
      <x:c r="A141" s="100" t="n">
        <x:v>140</x:v>
      </x:c>
      <x:c r="B141" s="18" t="str">
        <x:v>顕性形質（けんせいけいしつ）と潜性形質（せんせいけいしつ）</x:v>
      </x:c>
      <x:c r="C141" s="18" t="str">
        <x:v>対立遺伝（いでん）子を1つずつもつ個体で現れる形質を顕性（けんせい）、現れない方を潜性（せんせい）という。旧称は優性・劣性。生存上『優れている・劣っている』という意味ではない。つながり：対立遺伝子／遺伝子型／表現型／メンデル</x:v>
      </x:c>
    </x:row>
    <x:row r="142" ht="60" customHeight="1">
      <x:c r="A142" s="100" t="n">
        <x:v>141</x:v>
      </x:c>
      <x:c r="B142" s="18" t="str">
        <x:v>分離の法則</x:v>
      </x:c>
      <x:c r="C142" s="18" t="str">
        <x:v>対になっている対立遺伝（いでん）子は、生殖細胞ができるときに分かれ、各生殖細胞には一方だけが入る。受精（じゅせい）で再び対になる。子の比を求める土台。つながり：対立遺伝子／生殖細胞／受精／遺伝子型</x:v>
      </x:c>
    </x:row>
    <x:row r="143" ht="60" customHeight="1">
      <x:c r="A143" s="100" t="n">
        <x:v>142</x:v>
      </x:c>
      <x:c r="B143" s="18" t="str">
        <x:v>F2の遺伝（いでん）子型と表現型の比</x:v>
      </x:c>
      <x:c r="C143" s="18" t="str">
        <x:v>F1どうしAa×Aaでは、遺伝（いでん）子型AA:Aa:aa＝1:2:1、完全顕性（けんせい）なら表現型は顕性:潜性（せんせい）＝3:1。個体数が少ない実験では実測値が厳密な比からずれる。つながり：F2／遺伝子型／表現型／分離の法則</x:v>
      </x:c>
    </x:row>
    <x:row r="144" ht="60" customHeight="1">
      <x:c r="A144" s="100" t="n">
        <x:v>143</x:v>
      </x:c>
      <x:c r="B144" s="18" t="str">
        <x:v>食物連鎖と食物網</x:v>
      </x:c>
      <x:c r="C144" s="18" t="str">
        <x:v>食べる・食べられる一列のつながりが食物連鎖、複数の連鎖が網状に結びついたものが食物網。矢印は多くの場合、食べられる生物から食べる生物へ、物質・エネルギーの移動方向に引く。つながり：生産者／消費者／エネルギー／捕食</x:v>
      </x:c>
    </x:row>
    <x:row r="145" ht="60" customHeight="1">
      <x:c r="A145" s="100" t="n">
        <x:v>144</x:v>
      </x:c>
      <x:c r="B145" s="18" t="str">
        <x:v>物質循環とエネルギー流の違い</x:v>
      </x:c>
      <x:c r="C145" s="18" t="str">
        <x:v>炭素などの物質は生産者・消費者・分解者（ぶんかいしゃ）と環境の間を循環する。一方、エネルギーは太陽から入り、各段階で熱として失われ、一方向に流れるため循環しない。つながり：物質循環／太陽エネルギー／熱／生態系</x:v>
      </x:c>
    </x:row>
    <x:row r="146" ht="60" customHeight="1">
      <x:c r="A146" s="100" t="n">
        <x:v>145</x:v>
      </x:c>
      <x:c r="B146" s="18" t="str">
        <x:v>新月・上弦・満月・下弦の位置</x:v>
      </x:c>
      <x:c r="C146" s="18" t="str">
        <x:v>新月は月が太陽とほぼ同方向、満月は太陽と反対方向。上弦・下弦は地球から見て太陽方向と約90°。月の照らされた側は常に太陽を向く。つながり：新月／上弦の月／満月／下弦の月</x:v>
      </x:c>
    </x:row>
    <x:row r="147" ht="60" customHeight="1">
      <x:c r="A147" s="100" t="n">
        <x:v>146</x:v>
      </x:c>
      <x:c r="B147" s="18" t="str">
        <x:v>四つの月相の出・南中時刻</x:v>
      </x:c>
      <x:c r="C147" s="18" t="str">
        <x:v>新月は太陽とほぼ同時に昇り昼ごろ南中するが、太陽と同方向なので通常は見えない。満月は日没ごろ昇り真夜中ごろ南中、上弦は正午ごろ昇り日没ごろ南中、下弦は真夜中ごろ昇り日の出ごろ南中する。つながり：月の出／南中／月の入り／満ち欠け</x:v>
      </x:c>
    </x:row>
    <x:row r="148" ht="60" customHeight="1">
      <x:c r="A148" s="100" t="n">
        <x:v>147</x:v>
      </x:c>
      <x:c r="B148" s="18" t="str">
        <x:v>恒星（こうせい）・惑星（わくせい）・衛星（えいせい）</x:v>
      </x:c>
      <x:c r="C148" s="18" t="str">
        <x:v>恒星（こうせい）は自ら光を放つ天体、惑星（わくせい）は恒星の周りを回り主に反射（はんしゃ）光で見える天体、衛星（えいせい）は惑星などの周りを回る天体。太陽は恒星、地球は惑星、月は衛星。つながり：恒星／惑星／衛星／太陽</x:v>
      </x:c>
    </x:row>
    <x:row r="149" ht="60" customHeight="1">
      <x:c r="A149" s="100" t="n">
        <x:v>148</x:v>
      </x:c>
      <x:c r="B149" s="18" t="str">
        <x:v>金星が満ち欠けする理由</x:v>
      </x:c>
      <x:c r="C149" s="18" t="str">
        <x:v>金星が太陽光で照らされた半球を見る角度が、公転によって変わるため。地球に近いと細い三日月形で見かけが大きく、遠いと丸みに近く小さく見える。月と同じく自ら光らない。つながり：内惑星（わくせい）／公転／位相／見かけの大きさ</x:v>
      </x:c>
    </x:row>
    <x:row r="150" ht="60" customHeight="1">
      <x:c r="A150" s="100" t="n">
        <x:v>149</x:v>
      </x:c>
      <x:c r="B150" s="18" t="str">
        <x:v>原子核（げんしかく）と電子</x:v>
      </x:c>
      <x:c r="C150" s="18" t="str">
        <x:v>原子は中心の非常に小さい原子核（げんしかく）と、その周囲にある電子からできる。原子核は陽子（ようし）と中性子（ちゅうせいし）からなり、原子の質量のほとんどが集まる。つながり：陽子／中性子／電子</x:v>
      </x:c>
    </x:row>
    <x:row r="151" ht="60" customHeight="1">
      <x:c r="A151" s="100" t="n">
        <x:v>150</x:v>
      </x:c>
      <x:c r="B151" s="18" t="str">
        <x:v>陽子（ようし）と中性子（ちゅうせいし）</x:v>
      </x:c>
      <x:c r="C151" s="18" t="str">
        <x:v>どちらも原子核（げんしかく）をつくり、質量はほぼ同程度。陽子（ようし）は＋の電気をもち、中性子（ちゅうせいし）は電気をもたない。陽子数が元素の種類を決める。つながり：原子核／原子番号／同位体（どういたい）</x:v>
      </x:c>
    </x:row>
  </x:sheetData>
  <x:pageMargins left="0.7" right="0.7" top="0.75" bottom="0.75" header="0.3" footer="0.3"/>
  <x:tableParts count="1">
    <x:tablePart xmlns:r="http://schemas.openxmlformats.org/officeDocument/2006/relationships" r:id="R212edebc386247c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1" hidden="0" customWidth="1"/>
    <x:col min="2" max="2" width="105" hidden="0" customWidth="1"/>
  </x:cols>
  <x:sheetData>
    <x:row r="1">
      <x:c r="A1" s="10" t="str">
        <x:v>表</x:v>
      </x:c>
      <x:c r="B1" s="11" t="str">
        <x:v>裏</x:v>
      </x:c>
    </x:row>
    <x:row r="2" ht="58" customHeight="1">
      <x:c r="A2" s="103" t="str">
        <x:v>長さの測り方</x:v>
      </x:c>
      <x:c r="B2" s="17" t="str">
        <x:v>ものさしの0の線を物体の端に合わせ、目盛りを正面から読む。端が0に合わないときは、両端の値の差を求める。単位を必ず付け、1 cm＝10 mm、1 m＝100 cmとして換算する。つながり：目盛り／単位換算／測定誤差</x:v>
      </x:c>
    </x:row>
    <x:row r="3" ht="58" customHeight="1">
      <x:c r="A3" s="104" t="str">
        <x:v>光の直進</x:v>
      </x:c>
      <x:c r="B3" s="18" t="str">
        <x:v>光は同じ物質の中ではまっすぐ進む。小さな穴を通した光の筋や、影ができることから確かめられる。光線は光の進む道筋を矢印付きの線で表したもの。つながり：影／光線／反射（はんしゃ）</x:v>
      </x:c>
    </x:row>
    <x:row r="4" ht="58" customHeight="1">
      <x:c r="A4" s="104" t="str">
        <x:v>影のでき方</x:v>
      </x:c>
      <x:c r="B4" s="18" t="str">
        <x:v>光源からの光が不透明な物体にさえぎられた場所に影ができる。光源に物体を近づけるほど影は大きくなりやすい。半透明な物体は一部の光を通す。つながり：光の直進／光源／透明・不透明</x:v>
      </x:c>
    </x:row>
    <x:row r="5" ht="58" customHeight="1">
      <x:c r="A5" s="104" t="str">
        <x:v>音の正体</x:v>
      </x:c>
      <x:c r="B5" s="18" t="str">
        <x:v>音は物体の振動によって生じ、その振動が周囲へ伝わる現象。音を出している物体を音源という。音叉を水面に触れさせると水が飛び、振動を確かめられる。つながり：振動／音源／音の波</x:v>
      </x:c>
    </x:row>
    <x:row r="6" ht="58" customHeight="1">
      <x:c r="A6" s="104" t="str">
        <x:v>電気の通り道</x:v>
      </x:c>
      <x:c r="B6" s="18" t="str">
        <x:v>乾電池の＋極から導線・豆電球などを通り、−極まで切れ目なくつながった道を回路という。どこか一か所でも切れると電流は流れない。つながり：回路／電流／スイッチ</x:v>
      </x:c>
    </x:row>
    <x:row r="7" ht="58" customHeight="1">
      <x:c r="A7" s="104" t="str">
        <x:v>導体と不導体</x:v>
      </x:c>
      <x:c r="B7" s="18" t="str">
        <x:v>電流を通しやすい物質が導体、通しにくい物質が不導体。金属や黒鉛は導体、ガラス・ゴム・乾いた木などは不導体。金属だけが導体とは限らない。つながり：電流／金属／絶縁体</x:v>
      </x:c>
    </x:row>
    <x:row r="8" ht="58" customHeight="1">
      <x:c r="A8" s="104" t="str">
        <x:v>磁石の極</x:v>
      </x:c>
      <x:c r="B8" s="18" t="str">
        <x:v>磁石で力が最も強い両端をN極・S極という。同じ極どうしはしりぞけ合い、異なる極どうしは引き合う。磁石を切ってもN極だけにはならず、各片に両極ができる。つながり：磁力／磁界（じかい）／電磁石</x:v>
      </x:c>
    </x:row>
    <x:row r="9" ht="58" customHeight="1">
      <x:c r="A9" s="104" t="str">
        <x:v>磁石につく物質</x:v>
      </x:c>
      <x:c r="B9" s="18" t="str">
        <x:v>鉄・ニッケル・コバルトなどは磁石に強く引かれる。金属でもアルミニウムや銅はふつう磁石につかないため、「金属は全部つく」は誤り。つながり：鉄／磁力／金属</x:v>
      </x:c>
    </x:row>
    <x:row r="10" ht="58" customHeight="1">
      <x:c r="A10" s="104" t="str">
        <x:v>方位磁針</x:v>
      </x:c>
      <x:c r="B10" s="18" t="str">
        <x:v>小さな磁石が南北を向く器具。色の付いたN極がおよそ北を指すのは、地球自体が磁界（じかい）を作るため。近くに磁石や電流があると、その磁界の向きを示す。つながり：地磁気／磁界／N極</x:v>
      </x:c>
    </x:row>
    <x:row r="11" ht="58" customHeight="1">
      <x:c r="A11" s="104" t="str">
        <x:v>形を変えた物の重さ</x:v>
      </x:c>
      <x:c r="B11" s="18" t="str">
        <x:v>同じ物なら、丸める・伸ばす・置き方を変えるなど形を変えても重さは変わらない。ちぎれた一部を失ったり、別の物を加えたりすれば、その出入りの分だけ変わる。つながり：質量／保存／測定</x:v>
      </x:c>
    </x:row>
    <x:row r="12" ht="58" customHeight="1">
      <x:c r="A12" s="104" t="str">
        <x:v>同じ体積の物の重さ</x:v>
      </x:c>
      <x:c r="B12" s="18" t="str">
        <x:v>体積が同じでも、材料が違えば重さは異なる。大きさと形をそろえ、材料だけを変えてはかりで比べると、体積の大小と重さを混同せずに調べられる。つながり：材料／体積／質量／密度</x:v>
      </x:c>
    </x:row>
    <x:row r="13" ht="58" customHeight="1">
      <x:c r="A13" s="104" t="str">
        <x:v>風の強さと車の進む距離</x:v>
      </x:c>
      <x:c r="B13" s="18" t="str">
        <x:v>同じ車・帆・床・出発位置で風の強さだけを変えると、強い風ほど車を動かす力が大きくなり、一般に進む距離も長くなる。送風時間など他の条件はそろえる。つながり：風の力／移動距離／条件制御／公平な実験</x:v>
      </x:c>
    </x:row>
    <x:row r="14" ht="58" customHeight="1">
      <x:c r="A14" s="104" t="str">
        <x:v>ゴムを伸ばす長さと車の進む距離</x:v>
      </x:c>
      <x:c r="B14" s="18" t="str">
        <x:v>同じゴム・車・床・出発位置でゴムを伸ばす長さだけを変えると、安全な範囲では長く伸ばすほど車を動かす力が大きくなり、一般に進む距離も長くなる。人へ向けず、伸ばしすぎない。つながり：ゴムの力／移動距離／弾性／条件制御</x:v>
      </x:c>
    </x:row>
    <x:row r="15" ht="58" customHeight="1">
      <x:c r="A15" s="104" t="str">
        <x:v>鏡で反射（はんしゃ）する日光</x:v>
      </x:c>
      <x:c r="B15" s="18" t="str">
        <x:v>鏡に当たった日光は向きを変えて進み、鏡の向きを変えると反射（はんしゃ）した光が届く場所も変わる。日光は直進するので、鏡の向きと明るい部分の位置を対応させて調べる。つながり：鏡／反射／日光／光の直進</x:v>
      </x:c>
    </x:row>
    <x:row r="16" ht="58" customHeight="1">
      <x:c r="A16" s="104" t="str">
        <x:v>日光を集めたときの明るさと暖かさ</x:v>
      </x:c>
      <x:c r="B16" s="18" t="str">
        <x:v>鏡で反射（はんしゃ）した日光を重ねたり虫眼鏡で集めたりすると、光が集まった所は明るくなり、温度も上がる。太陽や強い光を直接見ず、人・生物・燃えやすい物へ光を集めない。つながり：集光／明るさ／温度／観察安全</x:v>
      </x:c>
    </x:row>
    <x:row r="17" ht="58" customHeight="1">
      <x:c r="A17" s="104" t="str">
        <x:v>磁石につけた鉄が磁石になる現象</x:v>
      </x:c>
      <x:c r="B17" s="18" t="str">
        <x:v>鉄のくぎなどを磁石につけると、その鉄も別の鉄を引き付けることがある。このように物が磁石の性質をもつことを磁化といい、磁石から離すと弱まったり、しばらく残ったりする。つながり：磁化／鉄／磁力／磁極</x:v>
      </x:c>
    </x:row>
    <x:row r="18" ht="58" customHeight="1">
      <x:c r="A18" s="104" t="str">
        <x:v>ルーペの使い方</x:v>
      </x:c>
      <x:c r="B18" s="18" t="str">
        <x:v>ルーペを目に近づけて固定し、観察物を前後に動かしてピントを合わせる。動かせない物は、ルーペを目につけたまま顔ごと近づく。太陽を絶対に見てはいけない。つながり：観察／焦点（しょうてん）／顕微鏡（けんびきょう）／安全</x:v>
      </x:c>
    </x:row>
    <x:row r="19" ht="58" customHeight="1">
      <x:c r="A19" s="104" t="str">
        <x:v>植物の生活環</x:v>
      </x:c>
      <x:c r="B19" s="18" t="str">
        <x:v>種子→発芽→成長→開花→受粉（じゅふん）・受精（じゅせい）→果実・種子という循環。種子が散布され、次世代が新しい場所で育つことで生活環が続く。つながり：発芽／開花／受精／種子散布</x:v>
      </x:c>
    </x:row>
    <x:row r="20" ht="58" customHeight="1">
      <x:c r="A20" s="104" t="str">
        <x:v>昆虫の体のつくり</x:v>
      </x:c>
      <x:c r="B20" s="18" t="str">
        <x:v>体は頭・胸・腹の3部に分かれ、胸に3対6本の脚がある。多くは胸に2対の翅をもち、頭に1対の触角がある。クモは脚が4対で昆虫ではない。つながり：頭部／胸部／腹部／節足動物（せっそくどうぶつ）</x:v>
      </x:c>
    </x:row>
    <x:row r="21" ht="58" customHeight="1">
      <x:c r="A21" s="104" t="str">
        <x:v>完全変態と不完全変態</x:v>
      </x:c>
      <x:c r="B21" s="18" t="str">
        <x:v>完全変態は卵→幼虫→さなぎ→成虫（チョウ・カブトムシなど）。不完全変態はさなぎを経ず、卵→幼虫→成虫（バッタ・トンボなど）。成長段階の順序で区別する。つながり：幼虫／さなぎ／成虫／昆虫</x:v>
      </x:c>
    </x:row>
    <x:row r="22" ht="58" customHeight="1">
      <x:c r="A22" s="104" t="str">
        <x:v>太陽の位置と影</x:v>
      </x:c>
      <x:c r="B22" s="18" t="str">
        <x:v>太陽は東から南の空を通って西へ動いて見え、影は太陽と反対側へ伸びる。日本では南中時に太陽が真南付近にあり、影は真北付近で最も短くなる。つながり：日周運動（にっしゅううんどう）／南中／影／方位</x:v>
      </x:c>
    </x:row>
    <x:row r="23" ht="58" customHeight="1">
      <x:c r="A23" s="104" t="str">
        <x:v>太陽を安全に観察する方法</x:v>
      </x:c>
      <x:c r="B23" s="18" t="str">
        <x:v>太陽観察用の遮光板や投影法を用いる。肉眼、双眼鏡、望遠鏡で直接見てはいけない。色付き下敷きやすすをつけたガラスも安全な代用品ではない。つながり：遮光板／投影法／日食（にっしょく）／安全</x:v>
      </x:c>
    </x:row>
    <x:row r="24" ht="58" customHeight="1">
      <x:c r="A24" s="104" t="str">
        <x:v>日なたと日陰の地面の温度</x:v>
      </x:c>
      <x:c r="B24" s="18" t="str">
        <x:v>同じ時刻なら、日光が当たる日なたの地面は、日光が遮られた日陰より温度が高くなりやすい。同じ種類・状態の地面で、同じ時刻・深さ・器具にそろえて測る。つながり：日光／地面の温度／日陰／条件制御</x:v>
      </x:c>
    </x:row>
    <x:row r="25" ht="58" customHeight="1">
      <x:c r="A25" s="104" t="str">
        <x:v>直列つなぎ</x:v>
      </x:c>
      <x:c r="B25" s="18" t="str">
        <x:v>部品を分かれ道のない一本道につなぐ方法。豆電球2個の直列では同じ電流が順に流れ、一方を外すと全体が消える。乾電池の直列つなぎでは電圧が加わる。つながり：並列つなぎ／電流／電圧</x:v>
      </x:c>
    </x:row>
    <x:row r="26" ht="58" customHeight="1">
      <x:c r="A26" s="104" t="str">
        <x:v>並列つなぎ</x:v>
      </x:c>
      <x:c r="B26" s="18" t="str">
        <x:v>回路に分かれ道を作って部品をつなぐ方法。枝分かれした各部分には同じ電圧がかかり、一方の豆電球を外しても他方は点灯する。家庭の器具も並列につながる。つながり：直列つなぎ／電圧／家庭回路</x:v>
      </x:c>
    </x:row>
    <x:row r="27" ht="58" customHeight="1">
      <x:c r="A27" s="104" t="str">
        <x:v>乾電池の直列つなぎ</x:v>
      </x:c>
      <x:c r="B27" s="18" t="str">
        <x:v>一方の＋極と他方の−極をつなぐ。向きをそろえた2個なら電圧は1個の約2倍になり、豆電球は明るくなりやすい。逆向きにつなぐと電圧が打ち消し合う。つながり：電圧／直列回路／極性</x:v>
      </x:c>
    </x:row>
    <x:row r="28" ht="58" customHeight="1">
      <x:c r="A28" s="104" t="str">
        <x:v>乾電池の並列つなぎ</x:v>
      </x:c>
      <x:c r="B28" s="18" t="str">
        <x:v>＋極どうし、−極どうしをつなぐ。同種・同容量・同じ使用状態の電池を同じ向きでつなぐと、電圧は1個とほぼ同じで同じ器具を長く動かせる。新旧・異種の電池を混ぜるのは危険。つながり：並列回路／電圧／電池容量</x:v>
      </x:c>
    </x:row>
    <x:row r="29" ht="58" customHeight="1">
      <x:c r="A29" s="104" t="str">
        <x:v>ショート回路</x:v>
      </x:c>
      <x:c r="B29" s="18" t="str">
        <x:v>電池の＋極と−極を抵抗の小さい導線で直接つなぐ状態。非常に大きな電流が流れて導線や電池が発熱し、火災や破裂の危険がある。実験で行わない。つながり：電気抵抗／発熱／過電流</x:v>
      </x:c>
    </x:row>
    <x:row r="30" ht="58" customHeight="1">
      <x:c r="A30" s="104" t="str">
        <x:v>熱伝導</x:v>
      </x:c>
      <x:c r="B30" s="18" t="str">
        <x:v>物質そのものが大きく移動せず、隣り合う部分へ熱が伝わる現象。金属は熱を伝えやすく、木や空気は伝えにくい。金属棒の一端を熱すると順に温まる。つながり：導体／断熱／温度差</x:v>
      </x:c>
    </x:row>
    <x:row r="31" ht="58" customHeight="1">
      <x:c r="A31" s="104" t="str">
        <x:v>対流</x:v>
      </x:c>
      <x:c r="B31" s="18" t="str">
        <x:v>多くの液体・気体では、温まった部分が膨張して密度が小さくなり上昇し、冷たい部分が下降して全体に熱を運ぶ。固体では対流しない。水の0〜4℃付近など例外もある。つながり：密度／熱膨張／流体</x:v>
      </x:c>
    </x:row>
    <x:row r="32" ht="58" customHeight="1">
      <x:c r="A32" s="104" t="str">
        <x:v>熱膨張</x:v>
      </x:c>
      <x:c r="B32" s="18" t="str">
        <x:v>多くの物質は温めると体積が増え、冷やすと減る。橋やレールにすき間を設けるのは膨張による変形を防ぐため。質量は温めただけでは変わらない。つながり：温度／体積／密度</x:v>
      </x:c>
    </x:row>
    <x:row r="33" ht="58" customHeight="1">
      <x:c r="A33" s="104" t="str">
        <x:v>閉じ込めた空気を押す</x:v>
      </x:c>
      <x:c r="B33" s="18" t="str">
        <x:v>出口をふさいだ注射器の空気を押すと、体積が小さくなり押し返す力が強くなる。手を離すと元へ戻ろうとする。針のない注射器を人へ向けず、無理な力を加えない。つながり：圧縮／体積／圧力</x:v>
      </x:c>
    </x:row>
    <x:row r="34" ht="58" customHeight="1">
      <x:c r="A34" s="104" t="str">
        <x:v>閉じ込めた水を押す</x:v>
      </x:c>
      <x:c r="B34" s="18" t="str">
        <x:v>水で満たして出口をふさいだ注射器は、押しても水の体積がほぼ変わらない。気泡や漏れがあると結果が変わる。針のない注射器を人へ向けず、無理な力を加えない。つながり：圧縮／液体／条件制御</x:v>
      </x:c>
    </x:row>
    <x:row r="35" ht="58" customHeight="1">
      <x:c r="A35" s="104" t="str">
        <x:v>空気と水の圧縮の違い</x:v>
      </x:c>
      <x:c r="B35" s="18" t="str">
        <x:v>空気は押すと体積が小さくなるが、水は非常に圧縮されにくい。空気は粒子間のすき間が大きく、水では粒子が近くにあると考えると説明できる。つながり：粒子モデル／体積／圧力</x:v>
      </x:c>
    </x:row>
    <x:row r="36" ht="58" customHeight="1">
      <x:c r="A36" s="104" t="str">
        <x:v>乾電池の向きとモーターの回転</x:v>
      </x:c>
      <x:c r="B36" s="18" t="str">
        <x:v>同じ回路で乾電池の＋極と−極を逆につなぐと、電流の向きが逆になり、モーターの回転方向も逆になる。向き以外の条件をそろえ、乾電池の両極を導線だけで結ばない。つながり：乾電池／電流の向き／モーター／ショート回路</x:v>
      </x:c>
    </x:row>
    <x:row r="37" ht="58" customHeight="1">
      <x:c r="A37" s="104" t="str">
        <x:v>固体・液体・気体</x:v>
      </x:c>
      <x:c r="B37" s="18" t="str">
        <x:v>固体は形と体積がほぼ一定、液体は体積がほぼ一定で容器に合わせて形が変わり、気体は形も体積も容器全体へ広がる。同じ物質でも温度で状態が変わる。つながり：状態変化／粒子／温度</x:v>
      </x:c>
    </x:row>
    <x:row r="38" ht="58" customHeight="1">
      <x:c r="A38" s="104" t="str">
        <x:v>状態変化</x:v>
      </x:c>
      <x:c r="B38" s="18" t="str">
        <x:v>物質が温度によって固体・液体・気体の間を変わること。物質の種類は変わらないので物理変化であり、基本的に全体の質量も変わらない。つながり：融解（ゆうかい）／気化／凝固（ぎょうこ）</x:v>
      </x:c>
    </x:row>
    <x:row r="39" ht="58" customHeight="1">
      <x:c r="A39" s="104" t="str">
        <x:v>蒸発</x:v>
      </x:c>
      <x:c r="B39" s="18" t="str">
        <x:v>液体の表面から粒子が飛び出して気体になる現象で、沸点（ふってん）より低い温度でも起こる。温度が高い、表面積が大きい、風がある、湿度が低いほど速く進む。つながり：気化／湿度／表面積</x:v>
      </x:c>
    </x:row>
    <x:row r="40" ht="58" customHeight="1">
      <x:c r="A40" s="104" t="str">
        <x:v>沸騰</x:v>
      </x:c>
      <x:c r="B40" s="18" t="str">
        <x:v>液体内部からも気泡が生じ、液体全体で気化する現象。沸点（ふってん）は物質と気圧で決まり、純物質では沸騰中の温度がほぼ一定。水中の気泡は空気とは限らず主に水蒸気。つながり：沸点／水蒸気／気圧</x:v>
      </x:c>
    </x:row>
    <x:row r="41" ht="58" customHeight="1">
      <x:c r="A41" s="104" t="str">
        <x:v>季節による生物の変化</x:v>
      </x:c>
      <x:c r="B41" s="18" t="str">
        <x:v>日長・気温・水分などの季節変化に応じ、発芽・開花・落葉・冬眠・渡りなどが起こる。同じ場所を同じ方法で継続観察すると、変化と環境条件の関係を比べられる。つながり：日長／気温／開花／冬眠</x:v>
      </x:c>
    </x:row>
    <x:row r="42" ht="58" customHeight="1">
      <x:c r="A42" s="104" t="str">
        <x:v>骨と筋肉による運動</x:v>
      </x:c>
      <x:c r="B42" s="18" t="str">
        <x:v>骨は体を支え内臓を守り、関節で動く。筋肉は縮むことはできるが自ら押し伸ばせないので、関節をはさんで反対向きにはたらく筋肉が対になり、交互に縮んで曲げ伸ばしする。つながり：骨格／関節／筋肉／腱</x:v>
      </x:c>
    </x:row>
    <x:row r="43" ht="58" customHeight="1">
      <x:c r="A43" s="104" t="str">
        <x:v>気温の正しい測り方</x:v>
      </x:c>
      <x:c r="B43" s="18" t="str">
        <x:v>温度計の液だめを地面から約1.2〜1.5 mの高さにし、直射日光を避け、風通しのよい場所で測る。目盛りは液柱の先と目の高さをそろえて読む。温度計を手で包まない。つながり：温度計／百葉箱／直射日光／観測</x:v>
      </x:c>
    </x:row>
    <x:row r="44" ht="58" customHeight="1">
      <x:c r="A44" s="104" t="str">
        <x:v>百葉箱（ひゃくようばこ）</x:v>
      </x:c>
      <x:c r="B44" s="18" t="str">
        <x:v>気温などを正しく測るための白い箱。直射日光や雨を防ぎつつ風を通し、地面からの熱の影響も小さくする。白色は日射を吸収しにくくするため。つながり：気温／温度計／風通し／日射</x:v>
      </x:c>
    </x:row>
    <x:row r="45" ht="58" customHeight="1">
      <x:c r="A45" s="104" t="str">
        <x:v>自然界の水の循環</x:v>
      </x:c>
      <x:c r="B45" s="18" t="str">
        <x:v>海・地面・植物から水が蒸発・蒸散（じょうさん）し、水蒸気が冷えて雲になり、雨や雪として地上へ戻る。川や地下水として海へ流れる。水は形と場所を変えながら循環する。つながり：蒸発／凝結（ぎょうけつ）／雲／降水</x:v>
      </x:c>
    </x:row>
    <x:row r="46" ht="58" customHeight="1">
      <x:c r="A46" s="104" t="str">
        <x:v>月の見える位置の変化</x:v>
      </x:c>
      <x:c r="B46" s="18" t="str">
        <x:v>同じ日の数時間では月は東から西へ動いて見える。一方、毎日同じ時刻に観察すると、月は前日より東側に見える。地球の自転と月の公転という別の運動を区別する。つながり：日周運動（にっしゅううんどう）／月の公転／自転／観察時刻</x:v>
      </x:c>
    </x:row>
    <x:row r="47" ht="58" customHeight="1">
      <x:c r="A47" s="104" t="str">
        <x:v>星の日周運動（にっしゅううんどう）</x:v>
      </x:c>
      <x:c r="B47" s="18" t="str">
        <x:v>星は時間とともに東から西へ動いて見える。星座をつくる星の並び方は保たれたまま、星座全体の位置が変わる。北の空では北極星付近を中心に反時計回りに回るように見え、主因は地球の自転である。つながり：地球の自転／北極星／日周運動（にっしゅううんどう）／星座</x:v>
      </x:c>
    </x:row>
    <x:row r="48" ht="58" customHeight="1">
      <x:c r="A48" s="104" t="str">
        <x:v>雨水が流れ集まる向き</x:v>
      </x:c>
      <x:c r="B48" s="18" t="str">
        <x:v>地面に降った雨水は、地面の傾きに沿って高い所から低い所へ流れ、くぼみや水路へ集まる。水たまりの位置や水の通った跡を観察すると、地面の高低を確かめられる。つながり：地面の傾き／低い所／水たまり／排水</x:v>
      </x:c>
    </x:row>
    <x:row r="49" ht="58" customHeight="1">
      <x:c r="A49" s="104" t="str">
        <x:v>土の粒と水のしみ込みを比べる実験</x:v>
      </x:c>
      <x:c r="B49" s="18" t="str">
        <x:v>同じ量・厚さ・詰め方の土へ同量の水を注ぎ、しみ込む時間や通り抜けた水量を比べる。一般に粗い粒の土は隙間が大きくしみ込みやすいが、土の締まり方や混ざり方でも変わる。つながり：土の粒／隙間／しみ込み／公平な実験</x:v>
      </x:c>
    </x:row>
    <x:row r="50" ht="58" customHeight="1">
      <x:c r="A50" s="104" t="str">
        <x:v>星の明るさと色の違い</x:v>
      </x:c>
      <x:c r="B50" s="18" t="str">
        <x:v>星には明るく見えるものと暗く見えるものがあり、白・青白・黄・赤っぽいものなど色にも違いがある。同じ時刻・場所で観察し、明るさや色を記録して比べる。つながり：星／明るさ／色／星座</x:v>
      </x:c>
    </x:row>
    <x:row r="51" ht="58" customHeight="1">
      <x:c r="A51" s="104" t="str">
        <x:v>体積</x:v>
      </x:c>
      <x:c r="B51" s="18" t="str">
        <x:v>物体が占める空間の大きさ。液体はメスシリンダーで測り、単位にはmL、cm³、Lなどを使う。1 mL＝1 cm³、1 L＝1000 mLである。つながり：メスシリンダー／密度／単位換算</x:v>
      </x:c>
    </x:row>
    <x:row r="52" ht="58" customHeight="1">
      <x:c r="A52" s="104" t="str">
        <x:v>電磁石</x:v>
      </x:c>
      <x:c r="B52" s="18" t="str">
        <x:v>鉄心に巻いたコイルへ電流を流して磁石にしたもの。電流を止めると磁力がほぼなくなり、電流の向きを逆にするとN極とS極が入れ替わる。つながり：コイル／電流／鉄心</x:v>
      </x:c>
    </x:row>
    <x:row r="53" ht="58" customHeight="1">
      <x:c r="A53" s="104" t="str">
        <x:v>電磁石を強くする方法</x:v>
      </x:c>
      <x:c r="B53" s="18" t="str">
        <x:v>コイルの巻き数を増やす、流す電流を大きくする、適切な鉄心を入れると強くなる。乾電池を増やすなら向きをそろえた直列つなぎにする。つながり：巻き数／電流／鉄心</x:v>
      </x:c>
    </x:row>
    <x:row r="54" ht="58" customHeight="1">
      <x:c r="A54" s="104" t="str">
        <x:v>振り子の1往復</x:v>
      </x:c>
      <x:c r="B54" s="18" t="str">
        <x:v>振り子が一方の端から反対側の端へ行き、再び元の端へ戻るまでが1往復。中央を通過しただけでは半往復であり、数え始める位置をそろえる。つながり：振り子／周期／往復回数</x:v>
      </x:c>
    </x:row>
    <x:row r="55" ht="58" customHeight="1">
      <x:c r="A55" s="104" t="str">
        <x:v>振り子の周期</x:v>
      </x:c>
      <x:c r="B55" s="18" t="str">
        <x:v>振り子が1往復する時間。例えば10往復に18.0秒かかったなら、周期は18.0÷10＝1.80秒。往復数ではなく片道の回数で割らない。つながり：1往復／時間／往復回数</x:v>
      </x:c>
    </x:row>
    <x:row r="56" ht="58" customHeight="1">
      <x:c r="A56" s="104" t="str">
        <x:v>振り子の周期を変える条件</x:v>
      </x:c>
      <x:c r="B56" s="18" t="str">
        <x:v>糸が長い振り子ほど周期は長くなる。比べる長さは支点（してん）からおもりの中心までとし、おもりの重さや最初の振れ幅などはそろえて調べる。つながり：振り子の長さ／周期／条件制御</x:v>
      </x:c>
    </x:row>
    <x:row r="57" ht="58" customHeight="1">
      <x:c r="A57" s="104" t="str">
        <x:v>振り子の周期を変えない条件</x:v>
      </x:c>
      <x:c r="B57" s="18" t="str">
        <x:v>小学校で扱う範囲では、振り子の長さが同じなら、おもりの重さを変えても周期は変わらない。振れ幅も極端に大きくなければ、周期への影響はほとんどないとして扱う。つながり：おもりの重さ／振れ幅／振り子の長さ</x:v>
      </x:c>
    </x:row>
    <x:row r="58" ht="58" customHeight="1">
      <x:c r="A58" s="104" t="str">
        <x:v>溶ける</x:v>
      </x:c>
      <x:c r="B58" s="18" t="str">
        <x:v>物質の粒子が液体中へ均一に広がり、見えない大きさで混ざること。なくなったのではなく、溶液を蒸発させれば多くの場合取り出せる。沈んだだけ、融けただけとは異なる。つながり：溶解／水溶液／結晶</x:v>
      </x:c>
    </x:row>
    <x:row r="59" ht="58" customHeight="1">
      <x:c r="A59" s="104" t="str">
        <x:v>水溶液の均一性と透明性</x:v>
      </x:c>
      <x:c r="B59" s="18" t="str">
        <x:v>溶質（ようしつ）が水中へ均一に広がり、どの部分も同じ濃さの透明な液体が水溶液。色があっても透明なものがあり、「無色」とは別。温度・水量が変わらず溶解度（ようかいど）以内なら溶質だけが沈まない。つながり：均一／透明／溶質</x:v>
      </x:c>
    </x:row>
    <x:row r="60" ht="58" customHeight="1">
      <x:c r="A60" s="104" t="str">
        <x:v>溶解と質量保存</x:v>
      </x:c>
      <x:c r="B60" s="18" t="str">
        <x:v>溶質（ようしつ）を水に完全に溶かしても、溶液の質量＝溶質の質量＋水の質量。粒子が見えなくなるだけで消滅しない。こぼれたり気体が逃げたりしない条件で成り立つ。つながり：質量保存／粒子／水溶液</x:v>
      </x:c>
    </x:row>
    <x:row r="61" ht="58" customHeight="1">
      <x:c r="A61" s="104" t="str">
        <x:v>蒸発による取り出し</x:v>
      </x:c>
      <x:c r="B61" s="18" t="str">
        <x:v>溶液から溶媒（ようばい）を気化させ、溶質（ようしつ）を残す操作。食塩水から食塩を得られる。強く加熱すると飛散するため、少量になったら弱め、蒸発皿を冷ましてから扱う。つながり：結晶／気化／溶質</x:v>
      </x:c>
    </x:row>
    <x:row r="62" ht="58" customHeight="1">
      <x:c r="A62" s="104" t="str">
        <x:v>結晶</x:v>
      </x:c>
      <x:c r="B62" s="18" t="str">
        <x:v>原子・分子・イオンなどが規則正しく並んだ固体。水溶液を冷やす、または水を蒸発させて溶質（ようしつ）を取り出すとできる。物質ごとに特徴的な形を示すことがある。つながり：再結晶（さいけっしょう）／溶解度（ようかいど）／粒子</x:v>
      </x:c>
    </x:row>
    <x:row r="63" ht="58" customHeight="1">
      <x:c r="A63" s="104" t="str">
        <x:v>発芽（はつが）</x:v>
      </x:c>
      <x:c r="B63" s="18" t="str">
        <x:v>種子から根や芽が出て成長を始めること。発芽に必要なのは適当な温度・水・空気（酸素）で、光や土は一般に必須ではない。条件を一つずつ変える対照実験（たいしょうじっけん）で確かめる。つながり：種子／水／酸素／対照実験</x:v>
      </x:c>
    </x:row>
    <x:row r="64" ht="58" customHeight="1">
      <x:c r="A64" s="104" t="str">
        <x:v>発芽条件を調べる実験</x:v>
      </x:c>
      <x:c r="B64" s="18" t="str">
        <x:v>調べたい条件だけを変え、種子の種類・数・置く期間などをそろえる。水の有無、空気の有無、温度の違いを別々に比べる。結果が一粒だけでは偶然の影響が大きいので、複数の種子を使う。つながり：発芽／対照実験（たいしょうじっけん）／変える条件／そろえる条件</x:v>
      </x:c>
    </x:row>
    <x:row r="65" ht="58" customHeight="1">
      <x:c r="A65" s="104" t="str">
        <x:v>子葉（しよう）</x:v>
      </x:c>
      <x:c r="B65" s="18" t="str">
        <x:v>種子の胚（はい）に含まれる最初の葉。発芽後に地上へ出るものも、種子内に残るものもある。インゲンマメでは厚い子葉に養分が蓄えられ、トウモロコシでは主な養分は胚乳（はいにゅう）にあり、子葉は1枚である。つながり：胚乳／発芽／双子葉類（そうしようるい）／単子葉類（たんしようるい）</x:v>
      </x:c>
    </x:row>
    <x:row r="66" ht="58" customHeight="1">
      <x:c r="A66" s="104" t="str">
        <x:v>種子に蓄えられた養分</x:v>
      </x:c>
      <x:c r="B66" s="18" t="str">
        <x:v>発芽直後はまだ十分に光合成できないため、種子内のデンプン・脂肪・タンパク質などを呼吸で利用する。ヨウ素液で青紫色になればデンプンがあると分かる。つながり：デンプン／ヨウ素液／呼吸／発芽</x:v>
      </x:c>
    </x:row>
    <x:row r="67" ht="58" customHeight="1">
      <x:c r="A67" s="104" t="str">
        <x:v>発芽後に植物が大きくなる条件</x:v>
      </x:c>
      <x:c r="B67" s="18" t="str">
        <x:v>発芽後の植物は、根から水と無機養分を吸収し、葉で光合成して有機物をつくる。十分な光・水・適温に加え、長く育つには無機養分も必要である。つながり：光合成／根／水／無機養分</x:v>
      </x:c>
    </x:row>
    <x:row r="68" ht="58" customHeight="1">
      <x:c r="A68" s="104" t="str">
        <x:v>花の基本的なつくり</x:v>
      </x:c>
      <x:c r="B68" s="18" t="str">
        <x:v>外側から、がく・花弁・おしべ・めしべが基本である。おしべのやくで花粉ができ、めしべの先端の柱頭に花粉がつくと受粉（じゅふん）する。つながり：がく／花弁／おしべ／めしべ</x:v>
      </x:c>
    </x:row>
    <x:row r="69" ht="58" customHeight="1">
      <x:c r="A69" s="104" t="str">
        <x:v>受粉（じゅふん）</x:v>
      </x:c>
      <x:c r="B69" s="18" t="str">
        <x:v>おしべのやくでできた花粉が、めしべの柱頭につくこと。虫・風・鳥などが花粉を運ぶ。受粉（じゅふん）後に受精（じゅせい）が起こると、胚珠（はいしゅ）は種子に、子房（しぼう）は果実になる。つながり：花粉／柱頭／受精／種子</x:v>
      </x:c>
    </x:row>
    <x:row r="70" ht="58" customHeight="1">
      <x:c r="A70" s="104" t="str">
        <x:v>果実と種子のでき方</x:v>
      </x:c>
      <x:c r="B70" s="18" t="str">
        <x:v>受粉（じゅふん）後、花粉から花粉管が伸びて受精（じゅせい）が起こる。めしべの子房（しぼう）が果実に、子房内の胚珠（はいしゅ）が種子になる。リンゴの食べる部分の多くのように、子房以外が発達する例もある。つながり：子房／胚珠／受粉／受精</x:v>
      </x:c>
    </x:row>
    <x:row r="71" ht="58" customHeight="1">
      <x:c r="A71" s="104" t="str">
        <x:v>メダカの受精（じゅせい）と発生</x:v>
      </x:c>
      <x:c r="B71" s="18" t="str">
        <x:v>雄の精子と雌の卵が体外で受精（じゅせい）し、受精卵の中で心臓・血管・目などができて孵化（ふか）する。水温が適切なら発生が進むが、日数は温度で変わる。つながり：受精卵／体外受精／発生／孵化</x:v>
      </x:c>
    </x:row>
    <x:row r="72" ht="58" customHeight="1">
      <x:c r="A72" s="104" t="str">
        <x:v>人の誕生まで</x:v>
      </x:c>
      <x:c r="B72" s="18" t="str">
        <x:v>精子と卵が受精（じゅせい）して受精卵となり、細胞分裂を繰り返して子宮内で育つ。胎児は胎盤とへその緒を通じ、母体から酸素と養分を受け取り、二酸化（さんか）炭素などを渡す。血液そのものが直接混ざるわけではない。つながり：受精卵／子宮／胎盤／へその緒</x:v>
      </x:c>
    </x:row>
    <x:row r="73" ht="58" customHeight="1">
      <x:c r="A73" s="104" t="str">
        <x:v>天気と雲量</x:v>
      </x:c>
      <x:c r="B73" s="18" t="str">
        <x:v>空全体を10とした雲の覆う割合が雲量。降水・雷・霧など他の天気現象がないとき、気象庁の観測では雲量0〜1が快晴、2〜8が晴れ、9〜10がくもり。雲の種類ではなく覆う割合で区分する。つながり：雲量／快晴／晴れ／曇り</x:v>
      </x:c>
    </x:row>
    <x:row r="74" ht="58" customHeight="1">
      <x:c r="A74" s="104" t="str">
        <x:v>雨量</x:v>
      </x:c>
      <x:c r="B74" s="18" t="str">
        <x:v>降った雨が流れたりしみ込んだりせず水平面にたまったと仮定した水の深さで、mmで表す。雨量10 mmは、1 m²あたり10 Lの水に相当する。つながり：雨量計／降水量／体積／天気</x:v>
      </x:c>
    </x:row>
    <x:row r="75" ht="58" customHeight="1">
      <x:c r="A75" s="104" t="str">
        <x:v>風向と風力</x:v>
      </x:c>
      <x:c r="B75" s="18" t="str">
        <x:v>風向は風が吹いてくる方向を表すので、北風は北から南へ吹く。風力は風の強さ。風向計と風速計を用い、周囲の建物の影響が少ない場所で測る。つながり：風向計／風速計／北風／気圧</x:v>
      </x:c>
    </x:row>
    <x:row r="76" ht="58" customHeight="1">
      <x:c r="A76" s="104" t="str">
        <x:v>天気が西から東へ変わりやすい理由</x:v>
      </x:c>
      <x:c r="B76" s="18" t="str">
        <x:v>日本付近では上空の風や低気圧・前線（ぜんせん）が西から東へ移動することが多いため。雲画像を時間順に比べると移動を読み取れる。ただし台風など例外もある。つながり：偏西風／低気圧／前線／気象衛星（えいせい）</x:v>
      </x:c>
    </x:row>
    <x:row r="77" ht="58" customHeight="1">
      <x:c r="A77" s="104" t="str">
        <x:v>台風への備え</x:v>
      </x:c>
      <x:c r="B77" s="18" t="str">
        <x:v>強風・大雨・高潮・高波をもたらす。接近前に予報とハザードマップを確認し、物を固定し、避難経路を確かめる。川や海へ見に行かず、警戒レベルに従い明るいうちに避難する。つながり：大雨／高潮／ハザードマップ／避難</x:v>
      </x:c>
    </x:row>
    <x:row r="78" ht="58" customHeight="1">
      <x:c r="A78" s="104" t="str">
        <x:v>流水の3つのはたらき</x:v>
      </x:c>
      <x:c r="B78" s="18" t="str">
        <x:v>流れる水が地面を削る侵食（しんしょく）、土砂を運ぶ運搬（うんぱん）、流れが弱い場所に積もらせる堆積（たいせき）。流速が大きいほど一般に大きな粒も運べる。つながり：侵食／運搬／堆積／流速</x:v>
      </x:c>
    </x:row>
    <x:row r="79" ht="58" customHeight="1">
      <x:c r="A79" s="104" t="str">
        <x:v>川の上流・中流・下流</x:v>
      </x:c>
      <x:c r="B79" s="18" t="str">
        <x:v>上流は傾斜が急で侵食（しんしょく）が盛ん、角ばった大きな石が多い。下流ほど傾斜が緩く流れも穏やかになり、丸く小さな粒や砂・泥が堆積（たいせき）しやすい。つながり：侵食／運搬（うんぱん）／堆積／河口</x:v>
      </x:c>
    </x:row>
    <x:row r="80" ht="58" customHeight="1">
      <x:c r="A80" s="104" t="str">
        <x:v>川の曲がりの内側と外側</x:v>
      </x:c>
      <x:c r="B80" s="18" t="str">
        <x:v>曲がりの外側は流れが速く岸が侵食（しんしょく）されやすい。内側は流れが遅く砂や小石が堆積（たいせき）しやすい。水深も一般に外側で深く、内側で浅い。つながり：流速／侵食／堆積／蛇行</x:v>
      </x:c>
    </x:row>
    <x:row r="81" ht="58" customHeight="1">
      <x:c r="A81" s="104" t="str">
        <x:v>エネルギーの変換</x:v>
      </x:c>
      <x:c r="B81" s="18" t="str">
        <x:v>エネルギーは形を変える。電球では電気→光・熱、モーターでは電気→運動、発電機では運動→電気。変換前後の総量は保存されるが、目的外の熱などへも分かれる。つながり：エネルギー保存／電力／効率</x:v>
      </x:c>
    </x:row>
    <x:row r="82" ht="58" customHeight="1">
      <x:c r="A82" s="104" t="str">
        <x:v>てこの三点</x:v>
      </x:c>
      <x:c r="B82" s="18" t="str">
        <x:v>てこを支える点が支点（してん）、力を加える点が力点（りきてん）、動かす物体から力を受ける点が作用点（さようてん）。支点から各点までの垂直距離が重要で、棒に沿った単純な距離とは限らない。つながり：支点／力点／作用点</x:v>
      </x:c>
    </x:row>
    <x:row r="83" ht="58" customHeight="1">
      <x:c r="A83" s="104" t="str">
        <x:v>てこのつり合い</x:v>
      </x:c>
      <x:c r="B83" s="18" t="str">
        <x:v>左右の回そうとするはたらきが等しいとつり合う。力×支点（してん）からの距離が左右で等しくなる。距離は支点から力の向きへ下ろした垂線の長さで考える。つながり：モーメント／支点／仕事</x:v>
      </x:c>
    </x:row>
    <x:row r="84" ht="58" customHeight="1">
      <x:c r="A84" s="104" t="str">
        <x:v>小さい力でてこを動かす方法</x:v>
      </x:c>
      <x:c r="B84" s="18" t="str">
        <x:v>支点（してん）から力点（りきてん）までを長くする、または支点から作用点（さようてん）までを短くする。必要な力は小さくなるが、力点を動かす距離は大きくなり、仕事の総量は理想的には変わらない。つながり：てこ／仕事の原理／力点</x:v>
      </x:c>
    </x:row>
    <x:row r="85" ht="58" customHeight="1">
      <x:c r="A85" s="104" t="str">
        <x:v>手回し発電機と光電池のエネルギー変換</x:v>
      </x:c>
      <x:c r="B85" s="18" t="str">
        <x:v>手回し発電機は手の運動エネルギーを、光電池は光のエネルギーを電気エネルギーへ変える。手を速く回す、または強い光を当てると、つないだ器具の働きが大きくなる場合がある。つながり：発電／運動エネルギー／光エネルギー／電気エネルギー</x:v>
      </x:c>
    </x:row>
    <x:row r="86" ht="58" customHeight="1">
      <x:c r="A86" s="104" t="str">
        <x:v>発電した電気をためる方法</x:v>
      </x:c>
      <x:c r="B86" s="18" t="str">
        <x:v>発電した電気は、コンデンサーや充電できる電池へ蓄え、後で豆電球やモーターなどに使える。ためられる量には限りがあり、端子の向きや器具の指定を守って充電する。つながり：蓄電／コンデンサー／充電池／電気の利用</x:v>
      </x:c>
    </x:row>
    <x:row r="87" ht="58" customHeight="1">
      <x:c r="A87" s="104" t="str">
        <x:v>センサーで電気を有効に使う仕組み</x:v>
      </x:c>
      <x:c r="B87" s="18" t="str">
        <x:v>明るさ・温度・人の動きなどをセンサーで検知し、必要な条件のときだけ照明やモーターを動かすと、不要な電気の使用を減らせる。センサーは電気をつくるのでなく、回路を制御する。つながり：センサー／回路制御／省エネルギー／電気の利用</x:v>
      </x:c>
    </x:row>
    <x:row r="88" ht="58" customHeight="1">
      <x:c r="A88" s="104" t="str">
        <x:v>空気中の酸素の割合</x:v>
      </x:c>
      <x:c r="B88" s="18" t="str">
        <x:v>空気の体積のおよそ5分の1、約21％が酸素である。残りの大部分は窒素で、物が燃えると空気中の酸素が使われる。空気全体が燃焼を助ける物質ではない。つながり：酸素／窒素／燃焼</x:v>
      </x:c>
    </x:row>
    <x:row r="89" ht="58" customHeight="1">
      <x:c r="A89" s="104" t="str">
        <x:v>酸素の性質</x:v>
      </x:c>
      <x:c r="B89" s="18" t="str">
        <x:v>無色・無臭で、水に溶けにくく、空気より少し重い。自身は燃えないが物質の燃焼を助ける。火のついた線香を入れると激しく燃えるので確認できる。つながり：助燃性／燃焼／水上置換</x:v>
      </x:c>
    </x:row>
    <x:row r="90" ht="58" customHeight="1">
      <x:c r="A90" s="104" t="str">
        <x:v>二酸化（さんか）炭素の性質</x:v>
      </x:c>
      <x:c r="B90" s="18" t="str">
        <x:v>無色・無臭で、空気より重く、水に少し溶けて弱い酸性を示す。燃焼を支えず、石灰水を白く濁らせる。濃度が高いと窒息の危険がある。つながり：石灰水／炭酸／燃焼</x:v>
      </x:c>
    </x:row>
    <x:row r="91" ht="58" customHeight="1">
      <x:c r="A91" s="104" t="str">
        <x:v>燃焼の三条件</x:v>
      </x:c>
      <x:c r="B91" s="18" t="str">
        <x:v>燃える物質、酸素、発火点以上の温度がそろうと燃焼が続く。消火は、燃料を除く・酸素を遮る・発火点未満へ冷やす、のどれかを行う。つながり：酸素／発火点／消火</x:v>
      </x:c>
    </x:row>
    <x:row r="92" ht="58" customHeight="1">
      <x:c r="A92" s="104" t="str">
        <x:v>ろうそくの燃焼</x:v>
      </x:c>
      <x:c r="B92" s="18" t="str">
        <x:v>ろうが熱で融け、芯を上って気化し、そのろうの蒸気が酸素と反応して燃える。固体のろうそのものが直接炎を出して燃えるのではない。主に二酸化（さんか）炭素と水ができる。つながり：気化／酸素／二酸化炭素</x:v>
      </x:c>
    </x:row>
    <x:row r="93" ht="58" customHeight="1">
      <x:c r="A93" s="104" t="str">
        <x:v>燃焼と空気の入れ替わり</x:v>
      </x:c>
      <x:c r="B93" s="18" t="str">
        <x:v>物が燃えると酸素が消費され、二酸化（さんか）炭素などが増える。容器内の空気を入れ替えないと酸素濃度が下がり火は消える。下から新鮮な空気が入り、上から熱い気体が出ると燃え続けやすい。つながり：対流／酸素／二酸化炭素</x:v>
      </x:c>
    </x:row>
    <x:row r="94" ht="58" customHeight="1">
      <x:c r="A94" s="104" t="str">
        <x:v>消火のしくみ</x:v>
      </x:c>
      <x:c r="B94" s="18" t="str">
        <x:v>水は主に冷却して発火点未満にし、ふたや泡は酸素を遮る。ガス栓を閉めるのは燃料を断つ。油火災へ水をかけると燃えた油が飛散するので適切な消火器を使う。つながり：燃焼の三条件／冷却／酸素遮断</x:v>
      </x:c>
    </x:row>
    <x:row r="95" ht="58" customHeight="1">
      <x:c r="A95" s="104" t="str">
        <x:v>酸性・中性・アルカリ性</x:v>
      </x:c>
      <x:c r="B95" s="18" t="str">
        <x:v>水溶液の性質を三つに分けたもの。酸性は青色リトマス紙を赤、アルカリ性は赤色を青にし、中性はいずれも変えない。強さはpHで表す。つながり：リトマス紙／pH／中和（ちゅうわ）</x:v>
      </x:c>
    </x:row>
    <x:row r="96" ht="58" customHeight="1">
      <x:c r="A96" s="104" t="str">
        <x:v>リトマス紙</x:v>
      </x:c>
      <x:c r="B96" s="18" t="str">
        <x:v>青色紙が赤に変われば酸性、赤色紙が青に変わればアルカリ性。中性ではどちらも変化しない。調べる液はガラス棒で少量付け、試薬びんへ紙を直接入れない。つながり：酸性／アルカリ性／指示薬</x:v>
      </x:c>
    </x:row>
    <x:row r="97" ht="58" customHeight="1">
      <x:c r="A97" s="104" t="str">
        <x:v>根の主な役割（小学校）</x:v>
      </x:c>
      <x:c r="B97" s="18" t="str">
        <x:v>根は植物体を土に固定し、土から水を取り入れる。取り入れた水は茎を通って葉などへ運ばれる。つながり：根／吸水／茎／水の通り道</x:v>
      </x:c>
    </x:row>
    <x:row r="98" ht="58" customHeight="1">
      <x:c r="A98" s="104" t="str">
        <x:v>茎の主な役割（小学校）</x:v>
      </x:c>
      <x:c r="B98" s="18" t="str">
        <x:v>茎は葉・花・実を支え、根が取り入れた水や、葉でつくられた養分の通り道になる。色水を吸わせて断面を見ると、水の通り道を確かめられる。つながり：茎／水の通り道／葉／色水</x:v>
      </x:c>
    </x:row>
    <x:row r="99" ht="58" customHeight="1">
      <x:c r="A99" s="104" t="str">
        <x:v>葉の主な役割</x:v>
      </x:c>
      <x:c r="B99" s="18" t="str">
        <x:v>葉は日光を受けて養分をつくり、根から運ばれた水の一部を水蒸気として外へ出す。葉では気体の出入りも行われる。つながり：葉／日光／養分／水蒸気</x:v>
      </x:c>
    </x:row>
    <x:row r="100" ht="58" customHeight="1">
      <x:c r="A100" s="104" t="str">
        <x:v>日光と葉のでんぷん</x:v>
      </x:c>
      <x:c r="B100" s="18" t="str">
        <x:v>日光に当たった緑色の葉では、でんぷんがつくられる。日光を遮った部分と当てた部分をヨウ素液で比べると、養分をつくるには光が必要だと分かる。つながり：日光／でんぷん／ヨウ素液／対照実験（たいしょうじっけん）</x:v>
      </x:c>
    </x:row>
    <x:row r="101" ht="58" customHeight="1">
      <x:c r="A101" s="104" t="str">
        <x:v>葉にできたデンプンの調べ方</x:v>
      </x:c>
      <x:c r="B101" s="18" t="str">
        <x:v>葉を熱湯に入れて反応を止め、温めたエタノールで葉緑素を抜き、水でやわらかくしてからヨウ素液をかける。青紫色になった部分にデンプンがある。エタノールは引火するので直火で加熱しない。つながり：ヨウ素液／デンプン／エタノール／対照実験（たいしょうじっけん）</x:v>
      </x:c>
    </x:row>
    <x:row r="102" ht="58" customHeight="1">
      <x:c r="A102" s="104" t="str">
        <x:v>葉の一部をアルミニウム箔（はく）で覆う理由</x:v>
      </x:c>
      <x:c r="B102" s="18" t="str">
        <x:v>同じ葉で光が当たる部分と当たらない部分を比べ、光だけを変えた対照実験（たいしょうじっけん）にするため。十分に暗所へ置いて葉のデンプンを減らしてから実験すると、実験中につくられた分を判定できる。つながり：光合成／デンプン／対照実験／暗所処理</x:v>
      </x:c>
    </x:row>
    <x:row r="103" ht="58" customHeight="1">
      <x:c r="A103" s="104" t="str">
        <x:v>植物に取り入れられた水の行方</x:v>
      </x:c>
      <x:c r="B103" s="18" t="str">
        <x:v>根から取り入れられた水は茎を通って葉へ運ばれ、その多くは葉から水蒸気として出る。一部は養分をつくるはたらきなどにも使われる。つながり：吸水／茎／葉／蒸散（じょうさん）</x:v>
      </x:c>
    </x:row>
    <x:row r="104" ht="58" customHeight="1">
      <x:c r="A104" s="104" t="str">
        <x:v>蒸散（じょうさん）を確かめる袋の実験</x:v>
      </x:c>
      <x:c r="B104" s="18" t="str">
        <x:v>葉のついた枝と葉を除いた枝に透明な袋をかぶせて比べると、葉のある方に多く水滴がつく。土からの蒸発を防いで、葉から出た水だと判断できるようにする。つながり：蒸散（じょうさん）／気孔（きこう）／水滴／対照実験（たいしょうじっけん）</x:v>
      </x:c>
    </x:row>
    <x:row r="105" ht="58" customHeight="1">
      <x:c r="A105" s="104" t="str">
        <x:v>食べる・食べられる関係</x:v>
      </x:c>
      <x:c r="B105" s="18" t="str">
        <x:v>野外で動物が何を食べるかを観察すると、植物→草食動物→肉食動物のように、生物どうしが食べる・食べられる関係でつながっていると分かる。一つの生物は複数の相手と関わるので、実際のつながりは網のように広がる。つながり：食物連鎖／食物網／生産者／消費者</x:v>
      </x:c>
    </x:row>
    <x:row r="106" ht="58" customHeight="1">
      <x:c r="A106" s="104" t="str">
        <x:v>呼吸の目的</x:v>
      </x:c>
      <x:c r="B106" s="18" t="str">
        <x:v>酸素を体内に取り入れ、細胞が養分からエネルギーを取り出すために使う。できた二酸化（さんか）炭素を体外へ出す。肺での気体交換と、細胞での呼吸は区別する。つながり：肺／酸素／二酸化炭素／細胞呼吸</x:v>
      </x:c>
    </x:row>
    <x:row r="107" ht="58" customHeight="1">
      <x:c r="A107" s="104" t="str">
        <x:v>吸う息と吐く息の違い</x:v>
      </x:c>
      <x:c r="B107" s="18" t="str">
        <x:v>吐く息は吸う息より酸素が少なく、二酸化（さんか）炭素と水蒸気が多い。窒素の割合はほぼ変わらない。石灰水を白く濁らせるのは吐く息中の二酸化炭素である。つながり：酸素／二酸化炭素／石灰水／気体交換</x:v>
      </x:c>
    </x:row>
    <x:row r="108" ht="58" customHeight="1">
      <x:c r="A108" s="104" t="str">
        <x:v>消化の目的</x:v>
      </x:c>
      <x:c r="B108" s="18" t="str">
        <x:v>食物中の大きく水に溶けにくい養分を、小さく水に溶ける物質へ変え、腸から吸収できるようにする。かみ砕くだけでなく、消化液による化学的変化を含む。つながり：消化液／小腸／吸収／消化酵素（しょうかこうそ）</x:v>
      </x:c>
    </x:row>
    <x:row r="109" ht="58" customHeight="1">
      <x:c r="A109" s="104" t="str">
        <x:v>血液の循環</x:v>
      </x:c>
      <x:c r="B109" s="18" t="str">
        <x:v>心臓の拍動によって血液が血管内を巡り、酸素・養分・二酸化（さんか）炭素・不要物などを運ぶ。動脈は心臓から出る血管、静脈は心臓へ戻る血管で、酸素量による名前ではない。つながり：心臓／動脈／静脈／毛細血管</x:v>
      </x:c>
    </x:row>
    <x:row r="110" ht="58" customHeight="1">
      <x:c r="A110" s="104" t="str">
        <x:v>月の形が変わって見える理由</x:v>
      </x:c>
      <x:c r="B110" s="18" t="str">
        <x:v>月は自ら光らず、太陽光を反射（はんしゃ）している。月が地球の周りを公転し、太陽に照らされた半球を地球から見る角度が変わるため、満ち欠けして見える。地球の影が原因なのは月食（げっしょく）のときだけ。つながり：月の公転／太陽光／満ち欠け／月食</x:v>
      </x:c>
    </x:row>
    <x:row r="111" ht="58" customHeight="1">
      <x:c r="A111" s="104" t="str">
        <x:v>地層</x:v>
      </x:c>
      <x:c r="B111" s="18" t="str">
        <x:v>れき・砂・泥・火山灰などが水底や地表に積み重なってできた層。下の層ほど古いのが基本だが、地殻変動で逆転している場合や断層（だんそう）・不整合には注意する。つながり：堆積（たいせき）／堆積岩／化石／地層累重の法則</x:v>
      </x:c>
    </x:row>
    <x:row r="112" ht="58" customHeight="1">
      <x:c r="A112" s="104" t="str">
        <x:v>地層から分かること</x:v>
      </x:c>
      <x:c r="B112" s="18" t="str">
        <x:v>粒の大きさ、模様、化石、火山灰などから、堆積（たいせき）した当時の水の流れ・深さ・環境や、離れた地層との対応を推定できる。観察した事実を根拠に過去を考える。つながり：化石／火山灰層／堆積環境／柱状図</x:v>
      </x:c>
    </x:row>
    <x:row r="113" ht="58" customHeight="1">
      <x:c r="A113" s="104" t="str">
        <x:v>化石</x:v>
      </x:c>
      <x:c r="B113" s="18" t="str">
        <x:v>過去の生物の体や生活の跡が地層に残ったもの。骨や殻だけでなく、足跡・巣穴・ふんなども含む。地層の年代や当時の環境を知る手がかりになる。つながり：示準化石（しじゅんかせき）／示相化石（しそうかせき）／地層／堆積（たいせき）岩</x:v>
      </x:c>
    </x:row>
    <x:row r="114" ht="58" customHeight="1">
      <x:c r="A114" s="104" t="str">
        <x:v>火山による土地の変化</x:v>
      </x:c>
      <x:c r="B114" s="18" t="str">
        <x:v>噴火で溶岩・火山灰・火砕流などが地表を覆い、山や島、新しい地層をつくる。短時間に大きく変える災害面と、長期的に肥沃な土や地熱などをもたらす面がある。つながり：噴火／溶岩／火山灰／火砕流</x:v>
      </x:c>
    </x:row>
    <x:row r="115" ht="58" customHeight="1">
      <x:c r="A115" s="104" t="str">
        <x:v>地震による土地の変化</x:v>
      </x:c>
      <x:c r="B115" s="18" t="str">
        <x:v>断層（だんそう）のずれや隆起・沈降、液状化、津波、崖崩れなどで土地が変化する。揺れだけでなく二次災害も想定し、地域の地形に合った備えが必要。つながり：断層／隆起／液状化／津波</x:v>
      </x:c>
    </x:row>
    <x:row r="116" ht="58" customHeight="1">
      <x:c r="A116" s="104" t="str">
        <x:v>同じ方法で結果を確かめ直せる性質</x:v>
      </x:c>
      <x:c r="B116" s="18" t="str">
        <x:v>条件・手順をそろえて繰り返したとき、同様の結果が得られる性質を、中学理科では広く再現性（さいげんせい）として扱う。厳密には、同じ人・器具・場所など同一条件での一致は反復性と呼び、条件を変えて確かめる再現性と区別することがある。つながり：再現性／反復性／実験手順／記録</x:v>
      </x:c>
    </x:row>
    <x:row r="117" ht="58" customHeight="1">
      <x:c r="A117" s="104" t="str">
        <x:v>別の人や方法でも確かめる意味</x:v>
      </x:c>
      <x:c r="B117" s="18" t="str">
        <x:v>人・場所・装置が変わっても似た結論になるか調べると、特定の操作癖や装置だけによる結果を見抜ける。これは結果の客観性（きゃっかんせい）と信頼性を高める。つながり：追試／客観性／再現性（さいげんせい）／信頼性</x:v>
      </x:c>
    </x:row>
    <x:row r="118" ht="58" customHeight="1">
      <x:c r="A118" s="104" t="str">
        <x:v>だれが見ても検討できる記録</x:v>
      </x:c>
      <x:c r="B118" s="18" t="str">
        <x:v>測定値、条件、手順、判断基準を公開し、個人の印象だけに頼らない記録である。同じ証拠を他者が点検できることが客観性（きゃっかんせい）を支える。つながり：客観性／測定値／記録／証拠</x:v>
      </x:c>
    </x:row>
    <x:row r="119" ht="58" customHeight="1">
      <x:c r="A119" s="104" t="str">
        <x:v>仮説（かせつ）を支持する証拠の条件</x:v>
      </x:c>
      <x:c r="B119" s="18" t="str">
        <x:v>仮説（かせつ）から予想される結果と一致し、別の説明や偶然では説明しにくいデータである。一致する一例だけで「完全に証明」とせず、反対の結果も探す。つながり：仮説／証拠／別解釈／反証</x:v>
      </x:c>
    </x:row>
    <x:row r="120" ht="58" customHeight="1">
      <x:c r="A120" s="104" t="str">
        <x:v>原点を省いたグラフの注意</x:v>
      </x:c>
      <x:c r="B120" s="18" t="str">
        <x:v>変化を拡大して見やすくできる一方、差が実際より大きく見えることがある。軸の開始値と途中の省略記号を確認し、棒の高さだけで差の割合を判断しない。つながり：原点／軸の省略／見かけの差／資料読解</x:v>
      </x:c>
    </x:row>
    <x:row r="121" ht="58" customHeight="1">
      <x:c r="A121" s="104" t="str">
        <x:v>測定点を順番に結ばない場合</x:v>
      </x:c>
      <x:c r="B121" s="18" t="str">
        <x:v>連続した関係を調べ、測定誤差で点が散らばるときは、全体の傾向を表す直線や曲線を引く。各点を折れ線で結ぶと、測っていない細かな上下まで事実のように見える。つながり：近似線／測定誤差／傾向／散布図</x:v>
      </x:c>
    </x:row>
    <x:row r="122" ht="58" customHeight="1">
      <x:c r="A122" s="104" t="str">
        <x:v>原点を通る直線が示す関係</x:v>
      </x:c>
      <x:c r="B122" s="18" t="str">
        <x:v>一方が2倍、3倍になると他方も2倍、3倍になる比例関係を示す。直線でも原点を通らなければ、単純な比例とはいえない。つながり：比例／原点／直線／比例定数</x:v>
      </x:c>
    </x:row>
    <x:row r="123" ht="58" customHeight="1">
      <x:c r="A123" s="104" t="str">
        <x:v>グラフの水平部分の読み方</x:v>
      </x:c>
      <x:c r="B123" s="18" t="str">
        <x:v>横軸が進んでも縦軸の量が変わらないことを示す。ただし「何も起きていない」とは限らず、沸騰中のように温度一定でも状態変化が進む場合がある。つながり：水平部分／変化なし／状態変化／加熱曲線</x:v>
      </x:c>
    </x:row>
    <x:row r="124" ht="58" customHeight="1">
      <x:c r="A124" s="104" t="str">
        <x:v>面積の換算で倍率を二乗する理由</x:v>
      </x:c>
      <x:c r="B124" s="18" t="str">
        <x:v>1 m=100 cmなので、1 m²は縦100 cm×横100 cm=10000 cm²になる。長さの倍率を一度だけ掛ける誤りに注意する。つながり：面積／平方メートル／単位換算／圧力</x:v>
      </x:c>
    </x:row>
    <x:row r="125" ht="58" customHeight="1">
      <x:c r="A125" s="104" t="str">
        <x:v>体積の換算で倍率を三乗する理由</x:v>
      </x:c>
      <x:c r="B125" s="18" t="str">
        <x:v>立方体の縦・横・高さの三方向すべてを換算するためである。1 m³=(100 cm)³=1000000 cm³で、長さの倍率を三回掛ける。つながり：体積／立方メートル／単位換算／密度</x:v>
      </x:c>
    </x:row>
    <x:row r="126" ht="58" customHeight="1">
      <x:c r="A126" s="104" t="str">
        <x:v>複数の単位が混じる計算の順序</x:v>
      </x:c>
      <x:c r="B126" s="18" t="str">
        <x:v>式へ代入する前に、長さ・時間・質量などを一つの単位系へそろえる。計算後に求められた単位を確認し、指定された単位へ直すと換算漏れを防げる。つながり：単位換算／式／検算／物理量</x:v>
      </x:c>
    </x:row>
    <x:row r="127" ht="58" customHeight="1">
      <x:c r="A127" s="104" t="str">
        <x:v>倍率をそろえて比例の未知量を求める</x:v>
      </x:c>
      <x:c r="B127" s="18" t="str">
        <x:v>対応する二量の組を確認し、一方が何倍かをもう一方にも掛ける。単位当たり量を先に求めてもよく、交差に掛けるだけで対応関係を見失わない。つながり：比例／倍率／単位当たり量／比例定数</x:v>
      </x:c>
    </x:row>
    <x:row r="128" ht="58" customHeight="1">
      <x:c r="A128" s="104" t="str">
        <x:v>表から比例と反比例を見分ける</x:v>
      </x:c>
      <x:c r="B128" s="18" t="str">
        <x:v>対応する値で、縦÷横が一定なら比例、縦×横が一定なら反比例を疑う。二組だけで決めず複数組を確かめ、測定誤差があればほぼ一定かを見る。つながり：比例／反比例／比／積</x:v>
      </x:c>
    </x:row>
    <x:row r="129" ht="58" customHeight="1">
      <x:c r="A129" s="104" t="str">
        <x:v>試験管の液を少量にして加熱する理由</x:v>
      </x:c>
      <x:c r="B129" s="18" t="str">
        <x:v>液が多いと熱が不均一になり、沸騰時に噴き出しやすい。外側の水滴を拭き、口を人へ向けず、炎を一か所へ当て続けない。つながり：試験管／加熱／突沸／熱膨張</x:v>
      </x:c>
    </x:row>
    <x:row r="130" ht="58" customHeight="1">
      <x:c r="A130" s="104" t="str">
        <x:v>危険性が不明な物質を扱う前</x:v>
      </x:c>
      <x:c r="B130" s="18" t="str">
        <x:v>ラベルと指示を確認し、必要な保護具・換気・火気の有無・廃棄方法を決める。正体を確かめるために直接触れる、味見する、むやみに混ぜる操作はしない。つながり：ラベル／保護具／換気／薬品安全</x:v>
      </x:c>
    </x:row>
    <x:row r="131" ht="58" customHeight="1">
      <x:c r="A131" s="104" t="str">
        <x:v>加熱中の実験台を離れない理由</x:v>
      </x:c>
      <x:c r="B131" s="18" t="str">
        <x:v>炎の立ち消え、沸騰、発火、器具の転倒は短時間で起こりうる。離れる必要があれば先に火・電源を止め、安全な状態を確認して教師へ伝える。つながり：加熱／火気／電源／実験監視</x:v>
      </x:c>
    </x:row>
    <x:row r="132" ht="58" customHeight="1">
      <x:c r="A132" s="104" t="str">
        <x:v>資料中の事実と主張を分ける</x:v>
      </x:c>
      <x:c r="B132" s="18" t="str">
        <x:v>数値・観察記録は証拠、そこから導く「原因はAだ」などは主張である。まず資料に直接書かれた事実を抜き出し、主張がその事実で支えられるか確かめる。つながり：事実／主張／証拠／解釈</x:v>
      </x:c>
    </x:row>
    <x:row r="133" ht="58" customHeight="1">
      <x:c r="A133" s="104" t="str">
        <x:v>図の凡例を先に読む理由</x:v>
      </x:c>
      <x:c r="B133" s="18" t="str">
        <x:v>色、線種、記号が何を表すかは図ごとに異なる。凡例を確認せず、青を水、赤を高温などと決めつけると誤読する。つながり：凡例／記号／天気図／地質図</x:v>
      </x:c>
    </x:row>
    <x:row r="134" ht="58" customHeight="1">
      <x:c r="A134" s="104" t="str">
        <x:v>目盛りの読み方</x:v>
      </x:c>
      <x:c r="B134" s="18" t="str">
        <x:v>液面と目の高さをそろえて視差（しさ）を防ぐ。学校実験で連続量を測るアナログ器具は、通常は最小目盛りの1/10まで目分量で読むが、器具や指示に従う。デジタル器具は表示された桁まで記録する。つながり：視差／メスシリンダー／測定誤差</x:v>
      </x:c>
    </x:row>
    <x:row r="135" ht="58" customHeight="1">
      <x:c r="A135" s="104" t="str">
        <x:v>不規則な物体の体積</x:v>
      </x:c>
      <x:c r="B135" s="18" t="str">
        <x:v>水に沈む物体なら、メスシリンダーの水位の増加分が物体の体積になる。物体を完全に沈め、気泡を付けない。水に溶ける物体には使えない。つながり：体積／メスシリンダー／浮力（ふりょく）</x:v>
      </x:c>
    </x:row>
    <x:row r="136" ht="58" customHeight="1">
      <x:c r="A136" s="104" t="str">
        <x:v>質量</x:v>
      </x:c>
      <x:c r="B136" s="18" t="str">
        <x:v>物体そのものの量で、場所が変わっても同じ。上皿てんびんや電子てんびんで測り、gやkgで表す。重力による力である重さとは区別する。つながり：てんびん／重さ／密度</x:v>
      </x:c>
    </x:row>
    <x:row r="137" ht="58" customHeight="1">
      <x:c r="A137" s="104" t="str">
        <x:v>光の反射（はんしゃ）</x:v>
      </x:c>
      <x:c r="B137" s="18" t="str">
        <x:v>光が物体の表面ではね返る現象。入射光、反射（はんしゃ）光、法線は同一平面上にあり、入射角＝反射角となる。角度は鏡の面ではなく法線から測る。つながり：入射角／反射角／法線</x:v>
      </x:c>
    </x:row>
    <x:row r="138" ht="58" customHeight="1">
      <x:c r="A138" s="104" t="str">
        <x:v>入射角と反射（はんしゃ）角</x:v>
      </x:c>
      <x:c r="B138" s="18" t="str">
        <x:v>入射角は入射光と法線のなす角、反射（はんしゃ）角は反射光と法線のなす角。反射の法則により常に等しい。鏡面との角度が示されたら90°から引く。つながり：反射の法則／法線／平面鏡</x:v>
      </x:c>
    </x:row>
    <x:row r="139" ht="58" customHeight="1">
      <x:c r="A139" s="104" t="str">
        <x:v>平面鏡の像</x:v>
      </x:c>
      <x:c r="B139" s="18" t="str">
        <x:v>像は鏡の奥に、物体と鏡の距離と同じだけ離れて見え、大きさも同じ。光が実際に鏡の奥から来るのではなく、反射（はんしゃ）光を後方へ延長した交点に見える虚像（きょぞう）である。つながり：虚像／反射／対称</x:v>
      </x:c>
    </x:row>
    <x:row r="140" ht="58" customHeight="1">
      <x:c r="A140" s="104" t="str">
        <x:v>鏡で全身を見る条件</x:v>
      </x:c>
      <x:c r="B140" s="18" t="str">
        <x:v>平面鏡で全身を見るのに必要な鏡の縦の長さは、目の位置によらず身長の1/2。頭頂と足先から目へ届く反射（はんしゃ）光を作図すると分かり、鏡から離れても必要な長さは変わらない。つながり：平面鏡／反射の作図／相似</x:v>
      </x:c>
    </x:row>
    <x:row r="141" ht="58" customHeight="1">
      <x:c r="A141" s="104" t="str">
        <x:v>屈折（くっせつ）</x:v>
      </x:c>
      <x:c r="B141" s="18" t="str">
        <x:v>光が異なる物質の境界を斜めに通ると、速さが変わって進む向きも変わる現象。空気から水・ガラスへ入ると法線側へ、水・ガラスから空気へ出ると法線から離れる。つながり：法線／全反射（はんしゃ）／凸レンズ</x:v>
      </x:c>
    </x:row>
    <x:row r="142" ht="58" customHeight="1">
      <x:c r="A142" s="104" t="str">
        <x:v>屈折（くっせつ）角</x:v>
      </x:c>
      <x:c r="B142" s="18" t="str">
        <x:v>屈折（くっせつ）した光と法線のなす角。空気から水へ進むと屈折角は入射角より小さく、水から空気へ進むと大きい。垂直に入射すると向きは変わらない。つながり：入射角／法線／屈折</x:v>
      </x:c>
    </x:row>
    <x:row r="143" ht="58" customHeight="1">
      <x:c r="A143" s="104" t="str">
        <x:v>水中の物体が浅く見える理由</x:v>
      </x:c>
      <x:c r="B143" s="18" t="str">
        <x:v>水中の物体から出た光が水面で法線から離れる向きに屈折（くっせつ）し、目は光が直進してきたと判断するため、光線を逆向きに延長した位置に物体があるように見える。つながり：屈折／虚像（きょぞう）／光の直進</x:v>
      </x:c>
    </x:row>
    <x:row r="144" ht="58" customHeight="1">
      <x:c r="A144" s="104" t="str">
        <x:v>全反射（ぜんはんしゃ）</x:v>
      </x:c>
      <x:c r="B144" s="18" t="str">
        <x:v>水やガラスなど光が遅い物質から空気側へ進むとき、入射角が一定以上になると境界を通り抜けず、すべて反射（はんしゃ）する現象。空気側から水側へでは起こらない。つながり：屈折（くっせつ）／臨界角／光ファイバー</x:v>
      </x:c>
    </x:row>
    <x:row r="145" ht="58" customHeight="1">
      <x:c r="A145" s="104" t="str">
        <x:v>凸（とつ）レンズ</x:v>
      </x:c>
      <x:c r="B145" s="18" t="str">
        <x:v>中央が厚く、平行な光を集めるレンズ。光軸に平行な光は屈折（くっせつ）後に焦点（しょうてん）を通り、レンズの中心を通る光はほぼ直進する。この2本を使って像を作図する。つながり：焦点／実像（じつぞう）／屈折</x:v>
      </x:c>
    </x:row>
    <x:row r="146" ht="58" customHeight="1">
      <x:c r="A146" s="104" t="str">
        <x:v>焦点（しょうてん）と焦点距離</x:v>
      </x:c>
      <x:c r="B146" s="18" t="str">
        <x:v>光軸に平行な光が凸レンズで屈折（くっせつ）して集まる点が焦点（しょうてん）。レンズの中心から焦点までが焦点距離で、同じレンズなら基本的に一定。レンズの両側に焦点がある。つながり：凸レンズ／光軸／実像（じつぞう）</x:v>
      </x:c>
    </x:row>
    <x:row r="147" ht="58" customHeight="1">
      <x:c r="A147" s="104" t="str">
        <x:v>実像（じつぞう）</x:v>
      </x:c>
      <x:c r="B147" s="18" t="str">
        <x:v>光が実際に集まってでき、スクリーンに映せる像。凸レンズで物体を焦点（しょうてん）の外側に置くとでき、上下左右が逆の倒立像になる。物体を焦点へ近づけるほど像は遠く、大きくなる。つながり：凸レンズ／虚像（きょぞう）／スクリーン</x:v>
      </x:c>
    </x:row>
    <x:row r="148" ht="58" customHeight="1">
      <x:c r="A148" s="104" t="str">
        <x:v>虚像（きょぞう）</x:v>
      </x:c>
      <x:c r="B148" s="18" t="str">
        <x:v>光が実際には集まらず、光線を逆向きに延長した位置に見える像。スクリーンには映らない。凸レンズでは物体を焦点（しょうてん）の内側に置くと、正立で拡大した虚像（きょぞう）になる。つながり：実像（じつぞう）／焦点／虫眼鏡</x:v>
      </x:c>
    </x:row>
    <x:row r="149" ht="58" customHeight="1">
      <x:c r="A149" s="104" t="str">
        <x:v>物体が焦点（しょうてん）の2倍より外側</x:v>
      </x:c>
      <x:c r="B149" s="18" t="str">
        <x:v>凸レンズから物体までの距離が焦点（しょうてん）距離の2倍より大きいと、反対側の焦点の1〜2倍の位置に、倒立で縮小した実像（じつぞう）ができる。つながり：凸レンズ／実像／焦点距離</x:v>
      </x:c>
    </x:row>
    <x:row r="150" ht="58" customHeight="1">
      <x:c r="A150" s="104" t="str">
        <x:v>物体が焦点（しょうてん）距離の2倍の位置</x:v>
      </x:c>
      <x:c r="B150" s="18" t="str">
        <x:v>物体を凸レンズの2Fに置くと、反対側の2Fに、物体と同じ大きさの倒立実像（じつぞう）ができる。像と物体はレンズをはさんで対称な距離になる。つながり：2F／倒立像／焦点（しょうてん）</x:v>
      </x:c>
    </x:row>
    <x:row r="151" ht="58" customHeight="1">
      <x:c r="A151" s="104" t="str">
        <x:v>物体が焦点（しょうてん）と2倍焦点の間</x:v>
      </x:c>
      <x:c r="B151" s="18" t="str">
        <x:v>凸レンズのFと2Fの間に物体を置くと、反対側の2Fより遠くに、倒立で拡大した実像（じつぞう）ができる。物体をFへ近づけるほど像は遠ざかり拡大する。つながり：凸レンズ／拡大像／実像</x:v>
      </x:c>
    </x:row>
    <x:row r="152" ht="58" customHeight="1">
      <x:c r="A152" s="104" t="str">
        <x:v>物体が焦点（しょうてん）の内側</x:v>
      </x:c>
      <x:c r="B152" s="18" t="str">
        <x:v>物体を凸レンズと焦点（しょうてん）の間に置くと、物体と同じ側に正立で拡大した虚像（きょぞう）が見える。光は実際には集まらないのでスクリーンには映らない。つながり：虫眼鏡／虚像／焦点</x:v>
      </x:c>
    </x:row>
    <x:row r="153" ht="58" customHeight="1">
      <x:c r="A153" s="104" t="str">
        <x:v>凸レンズの作図</x:v>
      </x:c>
      <x:c r="B153" s="18" t="str">
        <x:v>物体の先端から①光軸に平行→屈折（くっせつ）後に反対側の焦点（しょうてん）、②レンズ中心→直進、の2本を引く。交点が実像（じつぞう）の先端。虚像（きょぞう）では屈折光を物体側へ延長する。つながり：焦点／実像／虚像</x:v>
      </x:c>
    </x:row>
    <x:row r="154" ht="58" customHeight="1">
      <x:c r="A154" s="104" t="str">
        <x:v>スクリーンに像が映らないとき</x:v>
      </x:c>
      <x:c r="B154" s="18" t="str">
        <x:v>物体が焦点（しょうてん）の内側、スクリーン位置が像の位置と不一致、またはレンズ・物体・スクリーンの中心が一直線でない可能性がある。虚像（きょぞう）はスクリーンを動かしても映らない。つながり：実像（じつぞう）／虚像／焦点</x:v>
      </x:c>
    </x:row>
    <x:row r="155" ht="58" customHeight="1">
      <x:c r="A155" s="104" t="str">
        <x:v>音を伝える物質</x:v>
      </x:c>
      <x:c r="B155" s="18" t="str">
        <x:v>音は空気・水・固体などの物質の振動として伝わる。真空には振動を受け渡す粒子がないので音は伝わらない。光は真空中も進むため混同しない。つながり：振動／真空／光</x:v>
      </x:c>
    </x:row>
    <x:row r="156" ht="58" customHeight="1">
      <x:c r="A156" s="104" t="str">
        <x:v>音の大きさと振幅（しんぷく）</x:v>
      </x:c>
      <x:c r="B156" s="18" t="str">
        <x:v>振動の中心からの最大のずれを振幅（しんぷく）という。振幅が大きいほど音は大きい。波形では上下の幅に注目し、横方向の間隔である振動数（しんどうすう）とは区別する。つながり：振幅／波形／音の高さ</x:v>
      </x:c>
    </x:row>
    <x:row r="157" ht="58" customHeight="1">
      <x:c r="A157" s="104" t="str">
        <x:v>音の高さと振動数（しんどうすう）</x:v>
      </x:c>
      <x:c r="B157" s="18" t="str">
        <x:v>1秒間の振動回数を振動数（しんどうすう）といい、単位はHz。振動数が多いほど高い音、少ないほど低い音になる。同じ時間幅の波形なら、波の個数が多いほど高い。つながり：Hz／周期／波形</x:v>
      </x:c>
    </x:row>
    <x:row r="158" ht="58" customHeight="1">
      <x:c r="A158" s="104" t="str">
        <x:v>波形の読み取り</x:v>
      </x:c>
      <x:c r="B158" s="18" t="str">
        <x:v>縦方向の振れは振幅（しんぷく）＝音の大きさ、同じ横幅に入る波の数は振動数（しんどうすう）＝音の高さを表す。表示の縦・横の尺度が違う波形は、見た目だけで比べない。つながり：振幅／振動数／オシロスコープ</x:v>
      </x:c>
    </x:row>
    <x:row r="159" ht="58" customHeight="1">
      <x:c r="A159" s="104" t="str">
        <x:v>周期（振動）</x:v>
      </x:c>
      <x:c r="B159" s="18" t="str">
        <x:v>1回の振動にかかる時間。振動数（しんどうすう）をf Hz、周期をT秒とするとT＝1/f。例えば50 Hzなら周期は1/50秒＝0.02秒。つながり：振動数／Hz／波形</x:v>
      </x:c>
    </x:row>
    <x:row r="160" ht="58" customHeight="1">
      <x:c r="A160" s="104" t="str">
        <x:v>音の速さ</x:v>
      </x:c>
      <x:c r="B160" s="18" t="str">
        <x:v>空気中の音速は常温で約340 m/s。光よりはるかに遅いため、雷は光ってから音が届く。距離＝速さ×時間で計算し、温度などで音速は少し変わる。つながり：速さ／雷／反射（はんしゃ）音</x:v>
      </x:c>
    </x:row>
    <x:row r="161" ht="58" customHeight="1">
      <x:c r="A161" s="104" t="str">
        <x:v>反射（はんしゃ）音で距離を求める</x:v>
      </x:c>
      <x:c r="B161" s="18" t="str">
        <x:v>音を出してから反射（はんしゃ）音が戻るまでに、音は目的物までを往復する。距離＝音速×往復時間÷2。÷2を忘れない。つながり：音速／反射／距離</x:v>
      </x:c>
    </x:row>
    <x:row r="162" ht="58" customHeight="1">
      <x:c r="A162" s="104" t="str">
        <x:v>弦の音を高くする方法</x:v>
      </x:c>
      <x:c r="B162" s="18" t="str">
        <x:v>弦を短くする、細くする、強く張ると振動数（しんどうすう）が大きくなり音が高くなる。強くはじくことは主に振幅（しんぷく）を大きくし、音を大きくする操作である。つながり：振動数／振幅／音の高さ</x:v>
      </x:c>
    </x:row>
    <x:row r="163" ht="58" customHeight="1">
      <x:c r="A163" s="104" t="str">
        <x:v>真空容器のブザー実験</x:v>
      </x:c>
      <x:c r="B163" s="18" t="str">
        <x:v>容器内の空気を抜くほどブザー音は小さくなるが、ブザーの振動自体は見える。音を伝える空気が減るためで、電気が弱くなったからではない。完全な真空でなければ音は残る。つながり：真空／媒質／振動</x:v>
      </x:c>
    </x:row>
    <x:row r="164" ht="58" customHeight="1">
      <x:c r="A164" s="104" t="str">
        <x:v>力の三つのはたらき</x:v>
      </x:c>
      <x:c r="B164" s="18" t="str">
        <x:v>力には①物体の形を変える、②速さを変える、③運動の向きを変える、というはたらきがある。物体を支えて静止させる場合も、力ははたらいている。つながり：変形／運動／つり合い</x:v>
      </x:c>
    </x:row>
    <x:row r="165" ht="58" customHeight="1">
      <x:c r="A165" s="104" t="str">
        <x:v>力の三要素</x:v>
      </x:c>
      <x:c r="B165" s="18" t="str">
        <x:v>力は大きさ・向き・作用点（さようてん）の三要素で表す。図では作用点から力の向きへ矢印を引き、長さで大きさを表す。矢印の尺度をそろえる。つながり：力の矢印／作用点／合力</x:v>
      </x:c>
    </x:row>
    <x:row r="166" ht="58" customHeight="1">
      <x:c r="A166" s="104" t="str">
        <x:v>重力</x:v>
      </x:c>
      <x:c r="B166" s="18" t="str">
        <x:v>地球が物体を地球の中心方向へ引く力。物体の重心に、鉛直下向きにはたらくと考える。質量100 gの物体には地表付近で約1 Nの重力がはたらく。つながり：重さ／質量／重心</x:v>
      </x:c>
    </x:row>
    <x:row r="167" ht="58" customHeight="1">
      <x:c r="A167" s="104" t="str">
        <x:v>弾性力</x:v>
      </x:c>
      <x:c r="B167" s="18" t="str">
        <x:v>変形した物体が元の形に戻ろうとして及ぼす力。ばねを伸ばせば縮む向き、縮めれば伸びる向きにはたらく。一定範囲では変形量と力が比例する。つながり：フックの法則／ばね／復元力</x:v>
      </x:c>
    </x:row>
    <x:row r="168" ht="58" customHeight="1">
      <x:c r="A168" s="104" t="str">
        <x:v>摩擦力</x:v>
      </x:c>
      <x:c r="B168" s="18" t="str">
        <x:v>接触面で物体の相対的な動き、または動こうとする向きを妨げる力。必ず「進行方向と逆」とは限らず、歩くとき地面から足には前向きの摩擦力がはたらく。つながり：接触力／運動／仕事</x:v>
      </x:c>
    </x:row>
    <x:row r="169" ht="58" customHeight="1">
      <x:c r="A169" s="104" t="str">
        <x:v>垂直抗力（すいちょくこうりょく）</x:v>
      </x:c>
      <x:c r="B169" s="18" t="str">
        <x:v>物体が面を押すとき、面から物体へ垂直に受ける力。水平面上で鉛直方向に他の力がなければ重力とつり合うが、斜面や外力があると大きさは重力と同じとは限らない。つながり：作用反作用／重力／摩擦力</x:v>
      </x:c>
    </x:row>
    <x:row r="170" ht="58" customHeight="1">
      <x:c r="A170" s="104" t="str">
        <x:v>力のつり合い</x:v>
      </x:c>
      <x:c r="B170" s="18" t="str">
        <x:v>1つの物体にはたらく2力がつり合う条件は、同一直線上にあり、大きさが等しく、向きが反対。物体は静止または等速直線運動を続ける。つながり：合力／慣性（かんせい）／作用反作用</x:v>
      </x:c>
    </x:row>
    <x:row r="171" ht="58" customHeight="1">
      <x:c r="A171" s="104" t="str">
        <x:v>重心</x:v>
      </x:c>
      <x:c r="B171" s="18" t="str">
        <x:v>物体全体の重さが集中してはたらくと考えられる点。重心から下ろした鉛直線が支持面の内側にあれば倒れにくい。重心が低く、支持面が広いほど安定する。つながり：重力／安定性／支持面</x:v>
      </x:c>
    </x:row>
    <x:row r="172" ht="58" customHeight="1">
      <x:c r="A172" s="104" t="str">
        <x:v>力の単位ニュートン</x:v>
      </x:c>
      <x:c r="B172" s="18" t="str">
        <x:v>力の単位はN（ニュートン）。地表付近では質量100 gの物体にはたらく重力を約1 Nとするため、1 kgなら約10 N。質量の単位g・kgと混同しない。つながり：重力／質量／ばねばかり</x:v>
      </x:c>
    </x:row>
    <x:row r="173" ht="58" customHeight="1">
      <x:c r="A173" s="104" t="str">
        <x:v>質量と重さ</x:v>
      </x:c>
      <x:c r="B173" s="18" t="str">
        <x:v>質量は物体そのものの量で場所によらず一定、単位はg・kg。重さは重力の大きさで場所により変わり、単位はN。月面では質量は同じだが重さは地球上の約1/6。つながり：重力／ニュートン／月</x:v>
      </x:c>
    </x:row>
    <x:row r="174" ht="58" customHeight="1">
      <x:c r="A174" s="104" t="str">
        <x:v>ばねばかり</x:v>
      </x:c>
      <x:c r="B174" s="18" t="str">
        <x:v>ばねの伸びを利用して力の大きさをNで測る器具。使う前に0点を合わせ、最大目盛りを超えないようにし、力の向きとばねの向きをそろえて読む。つながり：弾性力／フックの法則／ニュートン</x:v>
      </x:c>
    </x:row>
    <x:row r="175" ht="58" customHeight="1">
      <x:c r="A175" s="104" t="str">
        <x:v>フックの法則</x:v>
      </x:c>
      <x:c r="B175" s="18" t="str">
        <x:v>ばねの弾性の限界内では、ばねの伸びは加えた力に比例する。グラフは原点を通る直線。ばね全体の長さではなく、自然長から増えた「伸び」を使う。つながり：弾性力／比例／ばね定数</x:v>
      </x:c>
    </x:row>
    <x:row r="176" ht="58" customHeight="1">
      <x:c r="A176" s="104" t="str">
        <x:v>ばねの伸びの計算</x:v>
      </x:c>
      <x:c r="B176" s="18" t="str">
        <x:v>あるばねが2 Nで3 cm伸びるなら、比例範囲で4 Nでは6 cm伸びる。全長を問われたら自然長＋伸び。複数のおもりでは合計質量をNへ直す。つながり：フックの法則／比例／重力</x:v>
      </x:c>
    </x:row>
    <x:row r="177" ht="58" customHeight="1">
      <x:c r="A177" s="104" t="str">
        <x:v>圧力</x:v>
      </x:c>
      <x:c r="B177" s="18" t="str">
        <x:v>面を垂直に押す力が単位面積あたりどれほど集中しているかを表す。圧力Pa＝力N÷面積m²。同じ力なら面積が小さいほど圧力は大きい。つながり：パスカル／面積／垂直抗力</x:v>
      </x:c>
    </x:row>
    <x:row r="178" ht="58" customHeight="1">
      <x:c r="A178" s="104" t="str">
        <x:v>パスカル</x:v>
      </x:c>
      <x:c r="B178" s="18" t="str">
        <x:v>圧力の単位Pa。1 Pa＝1 N/m²、1 hPa＝100 Pa。面積をcm²で与えられたらm²へ直し、1 cm²＝0.0001 m²を使う。つながり：圧力／面積換算／気圧</x:v>
      </x:c>
    </x:row>
    <x:row r="179" ht="58" customHeight="1">
      <x:c r="A179" s="104" t="str">
        <x:v>接地面積と圧力</x:v>
      </x:c>
      <x:c r="B179" s="18" t="str">
        <x:v>同じ物体なら面を変えて置いても重さは同じだが、接地面積が小さいほど圧力は大きい。面積が半分なら圧力は2倍。力自体が大きくなるわけではない。つながり：圧力／反比例／重力</x:v>
      </x:c>
    </x:row>
    <x:row r="180" ht="58" customHeight="1">
      <x:c r="A180" s="104" t="str">
        <x:v>大気圧で吸盤やストローが働く理由</x:v>
      </x:c>
      <x:c r="B180" s="18" t="str">
        <x:v>内側の圧力を下げると、外側の大気圧のほうが大きくなり、その圧力差で吸盤は壁へ押し付けられ、飲み物はストロー内を上がる。大気圧は大気の重さによりあらゆる向きにはたらき、海面付近で約1013 hPa。つながり：気圧／真空／圧力差</x:v>
      </x:c>
    </x:row>
    <x:row r="181" ht="58" customHeight="1">
      <x:c r="A181" s="104" t="str">
        <x:v>水圧</x:v>
      </x:c>
      <x:c r="B181" s="18" t="str">
        <x:v>水の重さによる圧力で、水面から深いほど大きい。同じ深さなら容器の形や向きによらずほぼ同じで、物体にはあらゆる向きからはたらく。つながり：深さ／圧力／浮力（ふりょく）</x:v>
      </x:c>
    </x:row>
    <x:row r="182" ht="58" customHeight="1">
      <x:c r="A182" s="104" t="str">
        <x:v>浮力（ふりょく）</x:v>
      </x:c>
      <x:c r="B182" s="18" t="str">
        <x:v>液体や気体中の物体が流体から受ける上向きの力。物体の下面の圧力が上面より大きいため生じる。水中でばねばかりの値が減る量が浮力（ふりょく）に等しい。つながり：水圧／見かけの重さ／密度</x:v>
      </x:c>
    </x:row>
    <x:row r="183" ht="58" customHeight="1">
      <x:c r="A183" s="104" t="str">
        <x:v>浮力（ふりょく）を決める量</x:v>
      </x:c>
      <x:c r="B183" s="18" t="str">
        <x:v>同じ液体では、浮力（ふりょく）は押しのけた液体の体積が大きいほど大きい。完全に水中へ沈めた同じ物体なら、深さを変えても浮力はほぼ変わらない。液体の密度も影響する。つながり：排除体積／密度／アルキメデスの原理</x:v>
      </x:c>
    </x:row>
    <x:row r="184" ht="58" customHeight="1">
      <x:c r="A184" s="104" t="str">
        <x:v>浮く・沈むの条件</x:v>
      </x:c>
      <x:c r="B184" s="18" t="str">
        <x:v>物体の平均密度が液体より小さければ浮き、大きければ沈む。等しければ、流れや他の力がない条件で液体中にとどまる。浮いて静止するときは浮力（ふりょく）＝重力。鉄の船は空気を含む平均密度を小さくしている。つながり：密度／浮力／重力</x:v>
      </x:c>
    </x:row>
    <x:row r="185" ht="58" customHeight="1">
      <x:c r="A185" s="104" t="str">
        <x:v>密度</x:v>
      </x:c>
      <x:c r="B185" s="18" t="str">
        <x:v>物質1 cm³あたりなどの質量。密度＝質量÷体積、よく使う単位はg/cm³。物質固有の値として同定に使えるが、温度や状態で変化する。つながり：質量／体積／浮沈</x:v>
      </x:c>
    </x:row>
    <x:row r="186" ht="58" customHeight="1">
      <x:c r="A186" s="104" t="str">
        <x:v>密度の三角関係</x:v>
      </x:c>
      <x:c r="B186" s="18" t="str">
        <x:v>密度＝質量÷体積、質量＝密度×体積、体積＝質量÷密度。単位をそろえ、gとcm³なら答えはg/cm³。体積が大きいだけで密度が大きいとはいえない。つながり：密度／質量／体積</x:v>
      </x:c>
    </x:row>
    <x:row r="187" ht="58" customHeight="1">
      <x:c r="A187" s="104" t="str">
        <x:v>状態変化の粒子モデル</x:v>
      </x:c>
      <x:c r="B187" s="18" t="str">
        <x:v>固体では粒子が規則的に並びその場で振動し、液体では近接したまま動き、気体では離れて自由に動く。状態変化で粒子そのものの種類や個数は変わらない。つながり：粒子／状態変化／熱運動</x:v>
      </x:c>
    </x:row>
    <x:row r="188" ht="58" customHeight="1">
      <x:c r="A188" s="104" t="str">
        <x:v>状態変化と質量</x:v>
      </x:c>
      <x:c r="B188" s="18" t="str">
        <x:v>密閉した容器内では、状態が変わっても粒子の種類と数が同じなので全体の質量は変わらない。開放容器で液体が減るのは、気体となって外へ出たため。つながり：質量保存／蒸発／密閉系</x:v>
      </x:c>
    </x:row>
    <x:row r="189" ht="58" customHeight="1">
      <x:c r="A189" s="104" t="str">
        <x:v>状態変化と体積</x:v>
      </x:c>
      <x:c r="B189" s="18" t="str">
        <x:v>一般に固体→液体→気体で体積は大きくなり、特に気体で大きい。水は例外的に凍ると体積が増えるため、氷の密度は水より小さく浮く。質量は変わらない。つながり：密度／氷／質量保存</x:v>
      </x:c>
    </x:row>
    <x:row r="190" ht="58" customHeight="1">
      <x:c r="A190" s="104" t="str">
        <x:v>融解（ゆうかい）と凝固（ぎょうこ）</x:v>
      </x:c>
      <x:c r="B190" s="18" t="str">
        <x:v>固体が液体になるのが融解（ゆうかい）、液体が固体になるのが凝固（ぎょうこ）。純物質では一定圧力下で融点（ゆうてん）と凝固点は同じ温度になり、変化中は加熱・冷却しても温度がほぼ一定。つながり：融点／状態変化／加熱曲線</x:v>
      </x:c>
    </x:row>
    <x:row r="191" ht="58" customHeight="1">
      <x:c r="A191" s="104" t="str">
        <x:v>気化と液化</x:v>
      </x:c>
      <x:c r="B191" s="18" t="str">
        <x:v>液体が気体になるのが気化、気体が液体になるのが液化。気化には液面で起こる蒸発と、液体内部からも起こる沸騰がある。液化では熱を周囲へ放出する。つながり：蒸発／沸騰／凝結（ぎょうけつ）</x:v>
      </x:c>
    </x:row>
    <x:row r="192" ht="58" customHeight="1">
      <x:c r="A192" s="104" t="str">
        <x:v>加熱曲線</x:v>
      </x:c>
      <x:c r="B192" s="18" t="str">
        <x:v>純物質を一定の割合で加熱すると、状態変化中は加えた熱が粒子間の結びつきを変えるため温度がほぼ一定になる。水平部分の温度から融点（ゆうてん）・沸点（ふってん）を読む。つながり：融点／沸点／潜熱</x:v>
      </x:c>
    </x:row>
    <x:row r="193" ht="58" customHeight="1">
      <x:c r="A193" s="104" t="str">
        <x:v>純物質と混合物の加熱曲線</x:v>
      </x:c>
      <x:c r="B193" s="18" t="str">
        <x:v>純物質は融解（ゆうかい）・沸騰中の温度が一定になりやすい。混合物は組成が変化しながら状態変化するため、温度が一定にならないことが多い。水平部分の有無が手がかり。つながり：純物質／混合物／沸点（ふってん）</x:v>
      </x:c>
    </x:row>
    <x:row r="194" ht="58" customHeight="1">
      <x:c r="A194" s="104" t="str">
        <x:v>溶質（ようしつ）・溶媒（ようばい）・溶液</x:v>
      </x:c>
      <x:c r="B194" s="18" t="str">
        <x:v>溶かされる物質が溶質（ようしつ）、溶かす液体が溶媒（ようばい）、均一に混ざったものが溶液。溶媒が水なら水溶液。食塩水では食塩が溶質、水が溶媒。つながり：水溶液／溶解／濃度</x:v>
      </x:c>
    </x:row>
    <x:row r="195" ht="58" customHeight="1">
      <x:c r="A195" s="104" t="str">
        <x:v>ろ過</x:v>
      </x:c>
      <x:c r="B195" s="18" t="str">
        <x:v>液体に溶けていない固体を、ろ紙を通して分ける操作。溶けた食塩などは粒子がろ紙を通るので分けられない。液面をろ紙の上端より低くし、液をガラス棒へ伝わせる。つながり：ろ紙／溶解／蒸発</x:v>
      </x:c>
    </x:row>
    <x:row r="196" ht="58" customHeight="1">
      <x:c r="A196" s="104" t="str">
        <x:v>ろ過を速く正確にする方法</x:v>
      </x:c>
      <x:c r="B196" s="18" t="str">
        <x:v>ろ紙を正しく折り、水で漏斗の内面へ密着させる。漏斗の脚の先端は受器の内壁に触れさせ、液面はろ紙の上端より低くする。沈殿（ちんでん）を静置して上澄みから流すと速い。つながり：ろ紙／漏斗／沈殿</x:v>
      </x:c>
    </x:row>
    <x:row r="197" ht="58" customHeight="1">
      <x:c r="A197" s="104" t="str">
        <x:v>溶解度（ようかいど）</x:v>
      </x:c>
      <x:c r="B197" s="18" t="str">
        <x:v>一定温度で水100 gに溶ける物質の最大質量。単位は通常g/水100 g。水溶液100 gあたりではない。多くの固体は温度上昇で増えるが、増え方は物質ごとに違う。つながり：飽和水溶液（ほうわすいようえき）／溶解度（ようかいど）曲線／再結晶（さいけっしょう）</x:v>
      </x:c>
    </x:row>
    <x:row r="198" ht="58" customHeight="1">
      <x:c r="A198" s="104" t="str">
        <x:v>飽和（ほうわ）水溶液</x:v>
      </x:c>
      <x:c r="B198" s="18" t="str">
        <x:v>ある温度で溶質（ようしつ）が限界まで溶けた水溶液。それ以上加えると溶け残る。温度を上げてさらに溶ける場合や、水を加えて不飽和にできる。底に固体があるだけでは、十分な時間・温度条件も確認する。つながり：溶解度（ようかいど）／不飽和／結晶</x:v>
      </x:c>
    </x:row>
    <x:row r="199" ht="58" customHeight="1">
      <x:c r="A199" s="104" t="str">
        <x:v>溶解度（ようかいど）曲線</x:v>
      </x:c>
      <x:c r="B199" s="18" t="str">
        <x:v>横軸に温度、縦軸に水100 gへ溶ける最大質量を表す。曲線上が飽和、下側は全部溶ける範囲、上側は超過分が溶け残る。水の量が100 gでないときは比例換算する。つながり：溶解度（ようかいど）／飽和／再結晶（さいけっしょう）</x:v>
      </x:c>
    </x:row>
    <x:row r="200" ht="58" customHeight="1">
      <x:c r="A200" s="104" t="str">
        <x:v>冷却で出る結晶の質量</x:v>
      </x:c>
      <x:c r="B200" s="18" t="str">
        <x:v>高温の飽和水溶液（ほうわすいようえき）を冷やすと、結晶質量＝高温で溶けていた質量−低温で溶けていられる質量。同じ水の質量に換算して差を取る。蒸発した水がある場合は別計算。つながり：溶解度（ようかいど）曲線／再結晶（さいけっしょう）／飽和</x:v>
      </x:c>
    </x:row>
    <x:row r="201" ht="58" customHeight="1">
      <x:c r="A201" s="104" t="str">
        <x:v>再結晶（さいけっしょう）</x:v>
      </x:c>
      <x:c r="B201" s="18" t="str">
        <x:v>固体の溶解度（ようかいど）が温度で変わる性質などを利用し、いったん溶かしてから結晶として取り出して精製する操作。温度による溶解度差が大きい物質ほど冷却法が有効。つながり：結晶／溶解度／精製</x:v>
      </x:c>
    </x:row>
    <x:row r="202" ht="58" customHeight="1">
      <x:c r="A202" s="104" t="str">
        <x:v>質量パーセント濃度</x:v>
      </x:c>
      <x:c r="B202" s="18" t="str">
        <x:v>溶液全体に占める溶質（ようしつ）の質量割合。濃度％＝溶質の質量÷溶液の質量×100、溶液質量＝溶質＋溶媒（ようばい）。分母を水の質量にしない。つながり：溶質／溶液／希釈</x:v>
      </x:c>
    </x:row>
    <x:row r="203" ht="58" customHeight="1">
      <x:c r="A203" s="104" t="str">
        <x:v>濃度から溶質（ようしつ）を求める</x:v>
      </x:c>
      <x:c r="B203" s="18" t="str">
        <x:v>溶質（ようしつ）の質量＝溶液の質量×濃度/100。例えば8％食塩水250 gには20 gの食塩が含まれる。残り230 gが水。単位をgにそろえる。つながり：質量パーセント濃度／溶液／百分率</x:v>
      </x:c>
    </x:row>
    <x:row r="204" ht="58" customHeight="1">
      <x:c r="A204" s="104" t="str">
        <x:v>水で薄める計算</x:v>
      </x:c>
      <x:c r="B204" s="18" t="str">
        <x:v>水を加えても溶質（ようしつ）の質量は変わらない。薄めた後の溶液質量＝元の溶液＋加えた水として新しい濃度を求める。蒸発では水だけが減ると考える。つながり：希釈／質量パーセント濃度／溶質保存</x:v>
      </x:c>
    </x:row>
    <x:row r="205" ht="58" customHeight="1">
      <x:c r="A205" s="104" t="str">
        <x:v>異なる濃度の溶液を混ぜる</x:v>
      </x:c>
      <x:c r="B205" s="18" t="str">
        <x:v>同じ溶質（ようしつ）で反応・沈殿（ちんでん）・揮発がない水溶液同士なら、各溶質質量を足し、溶液質量も足す。混合後濃度＝溶質合計÷溶液合計×100。単純平均できるのは溶液質量が等しい場合。つながり：濃度／溶質質量／加重平均</x:v>
      </x:c>
    </x:row>
    <x:row r="206" ht="58" customHeight="1">
      <x:c r="A206" s="104" t="str">
        <x:v>窒素の性質</x:v>
      </x:c>
      <x:c r="B206" s="18" t="str">
        <x:v>無色・無臭で、空気の約78％を占める。常温では反応しにくく、燃焼を助けない。食品包装に入れて酸化（さんか）を抑えたり、液体窒素を冷却に使ったりする。つながり：空気／酸化防止／アンモニア</x:v>
      </x:c>
    </x:row>
    <x:row r="207" ht="58" customHeight="1">
      <x:c r="A207" s="104" t="str">
        <x:v>水素の性質</x:v>
      </x:c>
      <x:c r="B207" s="18" t="str">
        <x:v>無色・無臭で、最も密度が小さく、水に溶けにくい。火を近づけると音を立てて燃え、水ができる。空気との混合気体は爆発しやすいため、最初の気体を捨ててから調べる。つながり：燃焼／水／上方置換</x:v>
      </x:c>
    </x:row>
    <x:row r="208" ht="58" customHeight="1">
      <x:c r="A208" s="104" t="str">
        <x:v>アンモニアの性質</x:v>
      </x:c>
      <x:c r="B208" s="18" t="str">
        <x:v>無色で刺激臭があり、空気より軽く、水に非常によく溶けて水溶液はアルカリ性。湿らせた赤色リトマス紙を青くする。毒性があるので直接かがない。つながり：アルカリ性／上方置換／噴水実験</x:v>
      </x:c>
    </x:row>
    <x:row r="209" ht="58" customHeight="1">
      <x:c r="A209" s="104" t="str">
        <x:v>気体の集め方の選択</x:v>
      </x:c>
      <x:c r="B209" s="18" t="str">
        <x:v>水に溶けにくい気体は水上置換（すいじょうちかん）が基本。水に溶けやすい場合、空気より重ければ下方置換（かほうちかん）、軽ければ上方置換（じょうほうちかん）。反応性や安全性も考える。つながり：水上置換／上方置換／下方置換</x:v>
      </x:c>
    </x:row>
    <x:row r="210" ht="58" customHeight="1">
      <x:c r="A210" s="104" t="str">
        <x:v>水上置換法（すいじょうちかんほう）</x:v>
      </x:c>
      <x:c r="B210" s="18" t="str">
        <x:v>水に溶けにくい気体を、水を満たして逆さにした容器へ集める。空気が混ざりにくく純度が高く、量も水面から分かる。酸素・水素などに適する。つながり：酸素／水素／気体の溶解度（ようかいど）</x:v>
      </x:c>
    </x:row>
    <x:row r="211" ht="58" customHeight="1">
      <x:c r="A211" s="104" t="str">
        <x:v>上方置換法（じょうほうちかんほう）</x:v>
      </x:c>
      <x:c r="B211" s="18" t="str">
        <x:v>水に溶けやすく空気より軽い気体を、口を下向きにした容器の上方へ集める方法。気体が上がり、空気を下へ追い出す。アンモニアなどに用いる。つながり：アンモニア／密度／気体捕集</x:v>
      </x:c>
    </x:row>
    <x:row r="212" ht="58" customHeight="1">
      <x:c r="A212" s="104" t="str">
        <x:v>下方置換法（かほうちかんほう）</x:v>
      </x:c>
      <x:c r="B212" s="18" t="str">
        <x:v>水に溶けやすく空気より重い気体を、口を上向きにした容器の下方へ集め、空気を上へ追い出す。二酸化（さんか）炭素や塩素などに用いる。つながり：二酸化炭素／塩素／密度</x:v>
      </x:c>
    </x:row>
    <x:row r="213" ht="58" customHeight="1">
      <x:c r="A213" s="104" t="str">
        <x:v>気体発生装置の最初の気体</x:v>
      </x:c>
      <x:c r="B213" s="18" t="str">
        <x:v>装置内に最初から空気が入っているため、発生直後の気体は目的の気体と空気の混合物。純度や爆発防止のため、最初の分は集めずに追い出す。つながり：水素／気体捕集／安全</x:v>
      </x:c>
    </x:row>
    <x:row r="214" ht="58" customHeight="1">
      <x:c r="A214" s="104" t="str">
        <x:v>気体のにおいの確かめ方</x:v>
      </x:c>
      <x:c r="B214" s="18" t="str">
        <x:v>容器へ鼻を直接近づけず、手で気体を少しずつあおいで嗅ぐ。未知の気体や有毒な気体はむやみに嗅がない。アンモニアや塩素は特に注意する。つながり：アンモニア／塩素／実験安全</x:v>
      </x:c>
    </x:row>
    <x:row r="215" ht="58" customHeight="1">
      <x:c r="A215" s="104" t="str">
        <x:v>純物質と混合物</x:v>
      </x:c>
      <x:c r="B215" s="18" t="str">
        <x:v>1種類の物質だけからなるものが純物質、複数の物質が混ざったものが混合物。純物質は一定圧力で融点（ゆうてん）・沸点（ふってん）が一定。空気や海水は見た目が均一でも混合物。つながり：融点／沸点／分離</x:v>
      </x:c>
    </x:row>
    <x:row r="216" ht="58" customHeight="1">
      <x:c r="A216" s="104" t="str">
        <x:v>金属の共通性質</x:v>
      </x:c>
      <x:c r="B216" s="18" t="str">
        <x:v>磨くと光沢があり、電気と熱をよく通し、たたくと薄く広がる展性（てんせい）、引くと線になる延性（えんせい）を持つ。磁石につくことは共通性質ではなく、水銀のように常温で液体の金属もある。つながり：導電性／展性／延性</x:v>
      </x:c>
    </x:row>
    <x:row r="217" ht="58" customHeight="1">
      <x:c r="A217" s="104" t="str">
        <x:v>有機物と無機物</x:v>
      </x:c>
      <x:c r="B217" s="18" t="str">
        <x:v>中学では炭素を含む物質の多くを有機物とし、燃えると二酸化（さんか）炭素を生じやすい。ただし黒鉛・ダイヤモンドなど炭素の単体、CO、CO₂、炭酸塩は無機物として扱う。つながり：炭素／燃焼／二酸化炭素</x:v>
      </x:c>
    </x:row>
    <x:row r="218" ht="58" customHeight="1">
      <x:c r="A218" s="104" t="str">
        <x:v>蒸留（じょうりゅう）</x:v>
      </x:c>
      <x:c r="B218" s="18" t="str">
        <x:v>混合液を加熱し、沸点（ふってん）の低い成分を先に気化させ、冷やして液体として集める分離法。枝付きフラスコの温度計先端は枝の付け根付近に置き、冷却水は下口から入れる。つながり：沸点／液化／混合物</x:v>
      </x:c>
    </x:row>
    <x:row r="219" ht="58" customHeight="1">
      <x:c r="A219" s="104" t="str">
        <x:v>蒸留（じょうりゅう）装置の安全</x:v>
      </x:c>
      <x:c r="B219" s="18" t="str">
        <x:v>加熱前に沸騰石を入れ、温度計の液だめを枝の付け根付近に置く。冷却水は冷却器の下口から入れ、装置を密閉しない。液がなくなるまで加熱せず、熱い液へ沸騰石を後から入れない。つながり：蒸留（じょうりゅう）／沸騰石／冷却器</x:v>
      </x:c>
    </x:row>
    <x:row r="220" ht="58" customHeight="1">
      <x:c r="A220" s="104" t="str">
        <x:v>蒸留（じょうりゅう）と蒸発の違い</x:v>
      </x:c>
      <x:c r="B220" s="18" t="str">
        <x:v>蒸発は主に溶媒（ようばい）を飛ばして残った溶質（ようしつ）を得る。蒸留（じょうりゅう）は気化した成分を冷やして再び液体として回収する。食塩水から純水を得たいなら蒸留。つながり：気化／液化／溶液</x:v>
      </x:c>
    </x:row>
    <x:row r="221" ht="58" customHeight="1">
      <x:c r="A221" s="104" t="str">
        <x:v>酸素のつくり方</x:v>
      </x:c>
      <x:c r="B221" s="18" t="str">
        <x:v>二酸化（さんか）マンガンにうすい過酸化水素水を加えると酸素が発生する。二酸化マンガンは反応を速める触媒（しょくばい）で、反応前後でほぼ変化しない。酸素は水上置換で集める。つながり：過酸化水素／触媒／水上置換</x:v>
      </x:c>
    </x:row>
    <x:row r="222" ht="58" customHeight="1">
      <x:c r="A222" s="104" t="str">
        <x:v>二酸化（さんか）炭素のつくり方</x:v>
      </x:c>
      <x:c r="B222" s="18" t="str">
        <x:v>石灰石や貝殻の主成分である炭酸カルシウムに、うすい塩酸を加える。二酸化（さんか）炭素は下方置換または水上置換で集め、石灰水で確認する。つながり：炭酸カルシウム／塩酸／石灰水</x:v>
      </x:c>
    </x:row>
    <x:row r="223" ht="58" customHeight="1">
      <x:c r="A223" s="104" t="str">
        <x:v>水素のつくり方</x:v>
      </x:c>
      <x:c r="B223" s="18" t="str">
        <x:v>亜鉛（あえん）やマグネシウムなどにうすい塩酸を加えると水素が発生する。水上置換で集め、最初の気体を捨てた後、火を近づけて音を立てて燃えることで確認する。つながり：金属／塩酸／水上置換</x:v>
      </x:c>
    </x:row>
    <x:row r="224" ht="58" customHeight="1">
      <x:c r="A224" s="104" t="str">
        <x:v>アンモニアのつくり方</x:v>
      </x:c>
      <x:c r="B224" s="18" t="str">
        <x:v>塩化アンモニウムと水酸化（さんか）カルシウムを混ぜて加熱する。水に非常によく溶け空気より軽いため上方置換で集める。試験管口を下げて逆流を防ぎ、少量・十分な換気で行い直接かがない。つながり：塩化アンモニウム／アルカリ／上方置換</x:v>
      </x:c>
    </x:row>
    <x:row r="225" ht="58" customHeight="1">
      <x:c r="A225" s="104" t="str">
        <x:v>天然物質と人工物質</x:v>
      </x:c>
      <x:c r="B225" s="18" t="str">
        <x:v>自然界から得て加工する木材・綿・金属などに対し、目的に合わせ化学的に合成した物質がある。多くのプラスチックは石油などを原料に合成され、性質を調整できる。つながり：材料／プラスチック／資源</x:v>
      </x:c>
    </x:row>
    <x:row r="226" ht="58" customHeight="1">
      <x:c r="A226" s="104" t="str">
        <x:v>プラスチックの性質と密度</x:v>
      </x:c>
      <x:c r="B226" s="18" t="str">
        <x:v>軽く成形しやすく、さびにくく、電気を通しにくいものが多いが、耐熱性などは種類で違う。気泡や添加物がない試料なら、PE・PPは水に浮き、PET・PVCは沈む。つながり：密度／ポリエチレン／PET</x:v>
      </x:c>
    </x:row>
    <x:row r="227" ht="58" customHeight="1">
      <x:c r="A227" s="104" t="str">
        <x:v>材料選択とプラスチックの再資源化（さいしげんか）</x:v>
      </x:c>
      <x:c r="B227" s="18" t="str">
        <x:v>強度・密度・耐熱性・導電性・価格・環境影響から用途に合う材料を選ぶ。プラスチックは種類を分別し、再使用・材料再生・化学原料化などを使い分け、流出や焼却の影響も減らす。つながり：分別／リサイクル／材料の性質</x:v>
      </x:c>
    </x:row>
    <x:row r="228" ht="58" customHeight="1">
      <x:c r="A228" s="104" t="str">
        <x:v>融点（ゆうてん）と沸点（ふってん）</x:v>
      </x:c>
      <x:c r="B228" s="18" t="str">
        <x:v>融点（ゆうてん）は固体が液体へ変わる温度、沸点（ふってん）は液体が内部からも気体へ変わる温度。純物質では気圧が一定ならそれぞれ固有の値を示し、物質の判別に使える。つながり：融解（ゆうかい）／沸騰／純物質／加熱曲線</x:v>
      </x:c>
    </x:row>
    <x:row r="229" ht="58" customHeight="1">
      <x:c r="A229" s="104" t="str">
        <x:v>生物に共通する性質</x:v>
      </x:c>
      <x:c r="B229" s="18" t="str">
        <x:v>中学理科で生物として扱うものは、細胞を基本単位として体ができている。外から物質やエネルギーを取り入れ、成長し、刺激に反応するなどの生命活動を行う。生物の集団には世代をつなぐ生殖の性質があるが、個々の個体が必ず子を残すわけではない。つながり：細胞／成長／呼吸／生殖</x:v>
      </x:c>
    </x:row>
    <x:row r="230" ht="58" customHeight="1">
      <x:c r="A230" s="104" t="str">
        <x:v>背骨の有無による分類</x:v>
      </x:c>
      <x:c r="B230" s="18" t="str">
        <x:v>背骨をもつ動物を脊椎動物（せきついどうぶつ）、もたない動物を無脊椎動物（むせきついどうぶつ）という。体の大小や陸上・水中という生活場所ではなく、体のつくりに基づく分類である。つながり：脊椎動物／無脊椎動物／分類／背骨</x:v>
      </x:c>
    </x:row>
    <x:row r="231" ht="58" customHeight="1">
      <x:c r="A231" s="104" t="str">
        <x:v>脊椎動物（せきついどうぶつ）の5群</x:v>
      </x:c>
      <x:c r="B231" s="18" t="str">
        <x:v>魚類・両生類・爬虫類（はちゅうるい）・鳥類・哺乳類に分ける。呼吸器官、体表、体温、受精（じゅせい）・子の生まれ方などを組み合わせて判断する。つながり：魚類／両生類／爬虫類／鳥類／哺乳類</x:v>
      </x:c>
    </x:row>
    <x:row r="232" ht="58" customHeight="1">
      <x:c r="A232" s="104" t="str">
        <x:v>顕微鏡（けんびきょう）の倍率</x:v>
      </x:c>
      <x:c r="B232" s="18" t="str">
        <x:v>総合倍率＝接眼レンズの倍率×対物レンズの倍率。倍率を上げると視野は狭く暗くなり、見える範囲は小さくなるが、像は大きく見える。つながり：接眼レンズ／対物レンズ／視野／倍率</x:v>
      </x:c>
    </x:row>
    <x:row r="233" ht="58" customHeight="1">
      <x:c r="A233" s="104" t="str">
        <x:v>顕微鏡（けんびきょう）観察の手順</x:v>
      </x:c>
      <x:c r="B233" s="18" t="str">
        <x:v>低倍率の対物レンズにし、反射（はんしゃ）鏡・しぼりで明るさを調節する。横から見て対物レンズをプレパラートに近づけ、接眼レンズをのぞきながら離してピントを合わせ、観察物を中央にしてから高倍率にする。つながり：低倍率／対物レンズ／調節ねじ／プレパラート</x:v>
      </x:c>
    </x:row>
    <x:row r="234" ht="58" customHeight="1">
      <x:c r="A234" s="104" t="str">
        <x:v>顕微鏡（けんびきょう）の像とプレパラートの動かし方</x:v>
      </x:c>
      <x:c r="B234" s="18" t="str">
        <x:v>顕微鏡（けんびきょう）の像は上下左右が逆に見える。像を右へ動かしたいときはプレパラートを左へ動かす。見失わないため、先に低倍率で像を視野中央に置く。つながり：倒立像／視野／プレパラート／低倍率</x:v>
      </x:c>
    </x:row>
    <x:row r="235" ht="58" customHeight="1">
      <x:c r="A235" s="104" t="str">
        <x:v>高倍率に変えたときの視野</x:v>
      </x:c>
      <x:c r="B235" s="18" t="str">
        <x:v>倍率を上げると、視野の直径・面積は小さくなり、暗くなる。視野の直径は倍率にほぼ反比例するので、倍率を2倍にすると直径は約1/2、面積は約1/4になる。つながり：倍率／視野の直径／視野の面積／明るさ</x:v>
      </x:c>
    </x:row>
    <x:row r="236" ht="58" customHeight="1">
      <x:c r="A236" s="104" t="str">
        <x:v>プレパラートのつくり方</x:v>
      </x:c>
      <x:c r="B236" s="18" t="str">
        <x:v>観察物を薄くしてスライドガラス上の水滴に置き、カバーガラスを端から斜めにゆっくり下ろす。これは気泡が入るのを防ぐため。余分な水は吸い取り紙で除く。つながり：スライドガラス／カバーガラス／気泡／染色液</x:v>
      </x:c>
    </x:row>
    <x:row r="237" ht="58" customHeight="1">
      <x:c r="A237" s="104" t="str">
        <x:v>種子植物</x:v>
      </x:c>
      <x:c r="B237" s="18" t="str">
        <x:v>花を咲かせ、種子でふえる植物。胚珠（はいしゅ）が子房（しぼう）の中にある被子植物（ひししょくぶつ）と、子房がなく胚珠がむき出しの裸子植物（らししょくぶつ）に分かれる。つながり：被子植物／裸子植物／胚珠／種子</x:v>
      </x:c>
    </x:row>
    <x:row r="238" ht="58" customHeight="1">
      <x:c r="A238" s="104" t="str">
        <x:v>被子植物（ひししょくぶつ）と裸子植物（らししょくぶつ）</x:v>
      </x:c>
      <x:c r="B238" s="18" t="str">
        <x:v>被子植物（ひししょくぶつ）は胚珠（はいしゅ）が子房（しぼう）内にあり、受精（じゅせい）後に子房が果実になる。裸子植物（らししょくぶつ）は子房がなく胚珠がむき出しで、マツ・イチョウ・ソテツなどが代表。裸子植物にも花に相当する生殖器官はある。つながり：胚珠／子房／果実／マツ</x:v>
      </x:c>
    </x:row>
    <x:row r="239" ht="58" customHeight="1">
      <x:c r="A239" s="104" t="str">
        <x:v>マツの花と種子</x:v>
      </x:c>
      <x:c r="B239" s="18" t="str">
        <x:v>雄花の花粉が風で雌花の胚珠（はいしゅ）に届いて受粉（じゅふん）する。雌花のりん片には胚珠がむき出しでつき、子房（しぼう）がないため果実はできない。松かさは果実ではない。つながり：裸子植物（らししょくぶつ）／雄花／雌花／胚珠</x:v>
      </x:c>
    </x:row>
    <x:row r="240" ht="58" customHeight="1">
      <x:c r="A240" s="104" t="str">
        <x:v>双子葉類（そうしようるい）と単子葉類（たんしようるい）</x:v>
      </x:c>
      <x:c r="B240" s="18" t="str">
        <x:v>被子植物（ひししょくぶつ）を子葉の数で分ける。双子葉類（そうしようるい）は子葉2枚・網状脈・主根と側根が典型、単子葉類（たんしようるい）は子葉1枚・平行脈・ひげ根が典型。茎の維管束（いかんそく）の並び方も異なる。つながり：子葉／葉脈／根／維管束</x:v>
      </x:c>
    </x:row>
    <x:row r="241" ht="58" customHeight="1">
      <x:c r="A241" s="104" t="str">
        <x:v>双子葉類（そうしようるい）の合弁花類（ごうべんかるい）と離弁花類（りべんかるい）</x:v>
      </x:c>
      <x:c r="B241" s="18" t="str">
        <x:v>花弁が根元までつながるものを合弁花類（タンポポ・ツツジなど）、花弁が1枚ずつ離れるものを離弁花類（アブラナ・サクラなど）という。花弁がない植物にはこの区分を直接使わない。つながり：双子葉類（そうしようるい）／合弁花類／離弁花類／花弁</x:v>
      </x:c>
    </x:row>
    <x:row r="242" ht="58" customHeight="1">
      <x:c r="A242" s="104" t="str">
        <x:v>シダ植物</x:v>
      </x:c>
      <x:c r="B242" s="18" t="str">
        <x:v>維管束（いかんそく）と根・茎・葉の区別があり、種子をつくらず胞子でふえる。葉の裏などに胞子のうが集まる。受精（じゅせい）には水が必要で、日陰の湿った場所に多い。つながり：胞子／維管束／胞子のう／コケ植物</x:v>
      </x:c>
    </x:row>
    <x:row r="243" ht="58" customHeight="1">
      <x:c r="A243" s="104" t="str">
        <x:v>コケ植物</x:v>
      </x:c>
      <x:c r="B243" s="18" t="str">
        <x:v>種子をつくらず胞子でふえ、維管束（いかんそく）や本当の根をもたない。雌株・雄株が分かれるものが多く、体表から水を吸収するため湿った場所に多い。根のような仮根は体を固定する。つながり：胞子／仮根／維管束／シダ植物</x:v>
      </x:c>
    </x:row>
    <x:row r="244" ht="58" customHeight="1">
      <x:c r="A244" s="104" t="str">
        <x:v>胞子と種子の違い</x:v>
      </x:c>
      <x:c r="B244" s="18" t="str">
        <x:v>胞子はふつう1個の細胞で、発芽して新しい個体につながる。種子は受精（じゅせい）後の胚珠（はいしゅ）が発達したもので、胚と養分を含み、乾燥に耐えて広がりやすい。つながり：胞子／種子／胚／受精</x:v>
      </x:c>
    </x:row>
    <x:row r="245" ht="58" customHeight="1">
      <x:c r="A245" s="104" t="str">
        <x:v>植物の分類手順</x:v>
      </x:c>
      <x:c r="B245" s="18" t="str">
        <x:v>まず種子をつくるかで分け、種子植物なら胚珠（はいしゅ）が子房（しぼう）内か、被子植物（ひししょくぶつ）なら子葉が1枚か2枚かを見る。種子をつくらない植物は維管束（いかんそく）の有無などでシダ植物とコケ植物を分ける。つながり：種子植物／被子植物／単子葉類（たんしようるい）／シダ植物</x:v>
      </x:c>
    </x:row>
    <x:row r="246" ht="58" customHeight="1">
      <x:c r="A246" s="104" t="str">
        <x:v>動物を分類する観点</x:v>
      </x:c>
      <x:c r="B246" s="18" t="str">
        <x:v>背骨の有無を大きな基準とし、脊椎動物（せきついどうぶつ）では呼吸器官・体表・体温・受精（じゅせい）場所・子の生まれ方を比べる。見た目や生活場所だけで決めず、複数の形質を組み合わせる。つながり：脊椎動物／無脊椎動物（むせきついどうぶつ）／形質／分類</x:v>
      </x:c>
    </x:row>
    <x:row r="247" ht="58" customHeight="1">
      <x:c r="A247" s="104" t="str">
        <x:v>魚類の特徴</x:v>
      </x:c>
      <x:c r="B247" s="18" t="str">
        <x:v>一生を主に水中で過ごし、えらで呼吸し、ひれで泳ぐ。体表はうろこで覆われるものが多く、変温動物。多くは殻のない卵を水中に産み体外受精（じゅせい）する。つながり：えら／うろこ／変温動物／体外受精</x:v>
      </x:c>
    </x:row>
    <x:row r="248" ht="58" customHeight="1">
      <x:c r="A248" s="104" t="str">
        <x:v>両生類の特徴</x:v>
      </x:c>
      <x:c r="B248" s="18" t="str">
        <x:v>幼生は水中でえら呼吸し、成体は肺と皮膚で呼吸する。湿った皮膚をもち変温動物で、多くは殻のない卵を水中に産み体外受精（じゅせい）する。カエルやイモリが代表。つながり：えら呼吸／肺呼吸／変態／体外受精</x:v>
      </x:c>
    </x:row>
    <x:row r="249" ht="58" customHeight="1">
      <x:c r="A249" s="104" t="str">
        <x:v>爬虫類（はちゅうるい）の特徴</x:v>
      </x:c>
      <x:c r="B249" s="18" t="str">
        <x:v>一生を肺で呼吸し、乾燥を防ぐうろこや甲で体表が覆われた変温動物。多くは陸上に殻のある卵を産み体内受精（じゅせい）する。カメ・トカゲ・ヘビ・ワニが代表。つながり：肺呼吸／うろこ／変温動物／体内受精</x:v>
      </x:c>
    </x:row>
    <x:row r="250" ht="58" customHeight="1">
      <x:c r="A250" s="104" t="str">
        <x:v>鳥類の特徴</x:v>
      </x:c>
      <x:c r="B250" s="18" t="str">
        <x:v>肺で呼吸し、体表は羽毛で覆われ、体温をほぼ一定に保つ恒温動物。殻のある卵を産み体内受精（じゅせい）する。飛べないペンギンやダチョウも鳥類である。つながり：羽毛／恒温動物／卵生／体内受精</x:v>
      </x:c>
    </x:row>
    <x:row r="251" ht="58" customHeight="1">
      <x:c r="A251" s="104" t="str">
        <x:v>哺乳類の特徴</x:v>
      </x:c>
      <x:c r="B251" s="18" t="str">
        <x:v>肺で呼吸し、体表に毛があり、恒温動物。多くは母体内で育った子を産み、乳で育てる。カモノハシは卵生、クジラは水中生活だが哺乳類である。つながり：体毛／恒温動物／胎生／乳</x:v>
      </x:c>
    </x:row>
    <x:row r="252" ht="58" customHeight="1">
      <x:c r="A252" s="104" t="str">
        <x:v>恒温動物と変温動物</x:v>
      </x:c>
      <x:c r="B252" s="18" t="str">
        <x:v>恒温動物は外気温が変わっても体温をほぼ一定に保つ鳥類・哺乳類。変温動物は周囲の温度に伴って体温が変わりやすい魚類・両生類・爬虫類。『血が温かいか冷たいか』という分類ではない。つながり：鳥類／哺乳類／代謝／体温</x:v>
      </x:c>
    </x:row>
    <x:row r="253" ht="58" customHeight="1">
      <x:c r="A253" s="104" t="str">
        <x:v>体外受精（じゅせい）と体内受精</x:v>
      </x:c>
      <x:c r="B253" s="18" t="str">
        <x:v>体外受精（じゅせい）は雌雄が体外へ出した卵と精子が受精し、魚類・両生類に多い。体内受精は雌の体内で受精し、爬虫類・鳥類・哺乳類に多い。産卵か胎生かとは別の観点である。つながり：受精／卵生／胎生／生殖</x:v>
      </x:c>
    </x:row>
    <x:row r="254" ht="58" customHeight="1">
      <x:c r="A254" s="104" t="str">
        <x:v>卵生と胎生</x:v>
      </x:c>
      <x:c r="B254" s="18" t="str">
        <x:v>卵生は母体外に産まれた卵の中で発生し、胎生は母体内である程度育ってから子として生まれる。受精（じゅせい）場所とは別で、鳥類は体内受精だが卵生、哺乳類の多くは体内受精で胎生。つながり：体内受精／発生／鳥類／哺乳類</x:v>
      </x:c>
    </x:row>
    <x:row r="255" ht="58" customHeight="1">
      <x:c r="A255" s="104" t="str">
        <x:v>水中生活だけでは分類できない理由</x:v>
      </x:c>
      <x:c r="B255" s="18" t="str">
        <x:v>クジラは肺呼吸・恒温・胎生・授乳をするので哺乳類、ペンギンは羽毛と殻のある卵をもつ鳥類。生活場所ではなく、体のつくりや生殖の特徴で分類する。つながり：クジラ／ペンギン／形質／脊椎動物（せきついどうぶつ）</x:v>
      </x:c>
    </x:row>
    <x:row r="256" ht="58" customHeight="1">
      <x:c r="A256" s="104" t="str">
        <x:v>節足動物（せっそくどうぶつ）</x:v>
      </x:c>
      <x:c r="B256" s="18" t="str">
        <x:v>外骨格と節のある脚をもち、成長時に脱皮する無脊椎動物（むせきついどうぶつ）。昆虫類・甲殻類・クモ類・多足類などを含む。体が節に分かれることも特徴。つながり：外骨格／脱皮／昆虫類／甲殻類</x:v>
      </x:c>
    </x:row>
    <x:row r="257" ht="58" customHeight="1">
      <x:c r="A257" s="104" t="str">
        <x:v>外骨格（がいこっかく）</x:v>
      </x:c>
      <x:c r="B257" s="18" t="str">
        <x:v>節足動物（せっそくどうぶつ）の体の外側を覆い、体を支え内部を守る硬い構造。体と一緒には大きくならないため、古い外骨格を脱ぐ脱皮をして成長する。つながり：節足動物／脱皮／昆虫／甲殻類</x:v>
      </x:c>
    </x:row>
    <x:row r="258" ht="58" customHeight="1">
      <x:c r="A258" s="104" t="str">
        <x:v>昆虫類・クモ類・甲殻類の見分け方</x:v>
      </x:c>
      <x:c r="B258" s="18" t="str">
        <x:v>昆虫類は頭・胸・腹と脚3対、クモ類は頭胸部・腹部と脚4対、甲殻類は多くがえら呼吸し脚が5対以上のものが多い。脚の数と体の区分を確認する。つながり：昆虫類／クモ類／甲殻類／節足動物（せっそくどうぶつ）</x:v>
      </x:c>
    </x:row>
    <x:row r="259" ht="58" customHeight="1">
      <x:c r="A259" s="104" t="str">
        <x:v>軟体動物（なんたいどうぶつ）</x:v>
      </x:c>
      <x:c r="B259" s="18" t="str">
        <x:v>内臓が外とう膜で包まれ、節のある脚や外骨格をもたない無脊椎動物（むせきついどうぶつ）。イカ・タコ・アサリ・マイマイなど。アサリはえら、マイマイは肺に似た器官で呼吸する。つながり：外とう膜／イカ／アサリ／無脊椎動物</x:v>
      </x:c>
    </x:row>
    <x:row r="260" ht="58" customHeight="1">
      <x:c r="A260" s="104" t="str">
        <x:v>節足動物（せっそくどうぶつ）と軟体動物（なんたいどうぶつ）の違い</x:v>
      </x:c>
      <x:c r="B260" s="18" t="str">
        <x:v>節足動物（せっそくどうぶつ）は外骨格と節のある脚をもち、軟体動物（なんたいどうぶつ）はやわらかい体で内臓が外とう膜に包まれる。カニは節足動物、イカや貝は軟体動物である。殻の有無だけでは判断しない。つながり：外骨格／外とう膜／脱皮／無脊椎動物（むせきついどうぶつ）</x:v>
      </x:c>
    </x:row>
    <x:row r="261" ht="58" customHeight="1">
      <x:c r="A261" s="104" t="str">
        <x:v>地球の層構造</x:v>
      </x:c>
      <x:c r="B261" s="18" t="str">
        <x:v>外側から地殻・マントル・核に分かれる。地殻は薄く、マントルは固体だが長時間ではゆっくり流動する。核は鉄・ニッケルを主成分とし、外核は液体、内核は固体。つながり：地殻／マントル／外核／内核</x:v>
      </x:c>
    </x:row>
    <x:row r="262" ht="58" customHeight="1">
      <x:c r="A262" s="104" t="str">
        <x:v>プレート</x:v>
      </x:c>
      <x:c r="B262" s="18" t="str">
        <x:v>地殻と上部マントルの一部からなる硬い板状の部分。地球表面を覆い、年数cm程度で動く。境界では地震や火山活動が多い。大陸そのものだけを指す語ではない。つながり：プレート境界／地震／火山／マントル</x:v>
      </x:c>
    </x:row>
    <x:row r="263" ht="58" customHeight="1">
      <x:c r="A263" s="104" t="str">
        <x:v>海洋プレートの沈み込み</x:v>
      </x:c>
      <x:c r="B263" s="18" t="str">
        <x:v>密度の大きい海洋プレートが大陸側のプレートの下へ沈み込み、海溝をつくる。境界の固着と急なずれで地震が起こり、深部で生じたマグマが火山活動につながる。つながり：海溝／震源（しんげん）／マグマ／プレート境界</x:v>
      </x:c>
    </x:row>
    <x:row r="264" ht="58" customHeight="1">
      <x:c r="A264" s="104" t="str">
        <x:v>マグマ</x:v>
      </x:c>
      <x:c r="B264" s="18" t="str">
        <x:v>地下の岩石が高温で部分的に溶けた物質で、結晶や火山ガスを含む。マグマが地表へ噴出したものを溶岩といい、通常は地下にあったときより火山ガスが抜けている。つながり：溶岩／火山ガス／火成岩（かせいがん）／マグマだまり</x:v>
      </x:c>
    </x:row>
    <x:row r="265" ht="58" customHeight="1">
      <x:c r="A265" s="104" t="str">
        <x:v>噴火で出るもの</x:v>
      </x:c>
      <x:c r="B265" s="18" t="str">
        <x:v>溶岩、火山灰、火山弾・火山れきなどの火山砕屑物、火山ガスが放出される。高温の火山ガスと破片が高速で流れる火砕流は、溶岩流とは異なる。つながり：溶岩／火山灰／火山弾／火砕流</x:v>
      </x:c>
    </x:row>
    <x:row r="266" ht="58" customHeight="1">
      <x:c r="A266" s="104" t="str">
        <x:v>マグマのねばりけと噴火</x:v>
      </x:c>
      <x:c r="B266" s="18" t="str">
        <x:v>ねばりけが小さい玄武岩質マグマはガスが抜けやすく比較的穏やかで、溶岩が広がりやすい。ねばりけが大きい流紋岩質マグマはガス圧が高まり爆発的噴火になりやすい。つながり：玄武岩質／流紋岩質／火山ガス／噴火</x:v>
      </x:c>
    </x:row>
    <x:row r="267" ht="58" customHeight="1">
      <x:c r="A267" s="104" t="str">
        <x:v>火山の形とマグマ</x:v>
      </x:c>
      <x:c r="B267" s="18" t="str">
        <x:v>ねばりけが小さいと溶岩が遠くまで流れ、傾斜の緩やかな火山になりやすい。中程度では円すい形、非常に大きいと盛り上がった溶岩ドームになりやすい。形だけで断定せず噴出物も見る。つながり：盾状火山／成層火山／溶岩ドーム／粘性</x:v>
      </x:c>
    </x:row>
    <x:row r="268" ht="58" customHeight="1">
      <x:c r="A268" s="104" t="str">
        <x:v>火山灰の観察方法</x:v>
      </x:c>
      <x:c r="B268" s="18" t="str">
        <x:v>火山灰は微粒子なので、湿らせて飛散を抑え、保護眼鏡・マスクを着けて目をこすらない。水で洗って泥を除き、乾燥後に双眼実体顕微鏡（けんびきょう）などで観察し、色・形・割れ方から鉱物（こうぶつ）や給源火山を比べる。つながり：鉱物／双眼実体顕微鏡／火山灰層／マグマ</x:v>
      </x:c>
    </x:row>
    <x:row r="269" ht="58" customHeight="1">
      <x:c r="A269" s="104" t="str">
        <x:v>鉱物（こうぶつ）</x:v>
      </x:c>
      <x:c r="B269" s="18" t="str">
        <x:v>天然にできた、ほぼ一定の化学組成と結晶構造をもつ固体。岩石をつくる粒の一つ一つである。岩石は複数種類の鉱物（こうぶつ）やガラス質からなることが多い。つながり：結晶／岩石／石英／長石</x:v>
      </x:c>
    </x:row>
    <x:row r="270" ht="58" customHeight="1">
      <x:c r="A270" s="104" t="str">
        <x:v>無色鉱物（こうぶつ）と有色鉱物</x:v>
      </x:c>
      <x:c r="B270" s="18" t="str">
        <x:v>石英・長石など白色〜無色で鉄やマグネシウムが少ないものを無色鉱物（こうぶつ）、黒雲母・角閃石・輝石・カンラン石など色が濃いものを有色鉱物という。割合は岩石の色に関係する。つながり：石英／長石／黒雲母／輝石</x:v>
      </x:c>
    </x:row>
    <x:row r="271" ht="58" customHeight="1">
      <x:c r="A271" s="104" t="str">
        <x:v>石英と長石の見分け</x:v>
      </x:c>
      <x:c r="B271" s="18" t="str">
        <x:v>石英は無色〜白色で不規則に割れ、ガラスのような光沢。長石は白色〜桃色で、決まった方向に割れやすい。色だけでなく割れ方・光沢も合わせて判断する。つながり：石英／長石／へき開／無色鉱物（こうぶつ）</x:v>
      </x:c>
    </x:row>
    <x:row r="272" ht="58" customHeight="1">
      <x:c r="A272" s="104" t="str">
        <x:v>主な有色鉱物（こうぶつ）</x:v>
      </x:c>
      <x:c r="B272" s="18" t="str">
        <x:v>黒雲母は黒く薄くはがれ、角閃石は黒〜濃緑で細長い柱状、輝石は暗緑〜黒で短い柱状、カンラン石は黄緑色の粒状。形と色を組み合わせて識別する。つながり：黒雲母／角閃石／輝石／カンラン石</x:v>
      </x:c>
    </x:row>
    <x:row r="273" ht="58" customHeight="1">
      <x:c r="A273" s="104" t="str">
        <x:v>火成岩（かせいがん）</x:v>
      </x:c>
      <x:c r="B273" s="18" t="str">
        <x:v>マグマが冷えて固まった岩石。地表付近で急に冷えた火山岩（かざんがん）と、地下深くでゆっくり冷えた深成岩（しんせいがん）に分かれる。冷える速さが結晶の大きさと組織を決める。つながり：火山岩／深成岩／マグマ／結晶</x:v>
      </x:c>
    </x:row>
    <x:row r="274" ht="58" customHeight="1">
      <x:c r="A274" s="104" t="str">
        <x:v>斑状組織（はんじょうそしき）</x:v>
      </x:c>
      <x:c r="B274" s="18" t="str">
        <x:v>大きな結晶の斑晶が、細かな結晶やガラス質の石基に囲まれる組織。マグマが地下で一部結晶化した後、地表付近で急冷した火山岩（かざんがん）に典型的。つながり：斑晶／石基／火山岩／急冷</x:v>
      </x:c>
    </x:row>
    <x:row r="275" ht="58" customHeight="1">
      <x:c r="A275" s="104" t="str">
        <x:v>等粒状組織（とうりゅうじょうそしき）</x:v>
      </x:c>
      <x:c r="B275" s="18" t="str">
        <x:v>ほぼ同じ大きさの結晶が組み合わさった組織。地下深くでマグマ全体がゆっくり冷え、結晶が成長した深成岩（しんせいがん）に典型的。肉眼で鉱物（こうぶつ）を見分けやすい。つながり：結晶／深成岩／徐冷／花こう岩</x:v>
      </x:c>
    </x:row>
    <x:row r="276" ht="58" customHeight="1">
      <x:c r="A276" s="104" t="str">
        <x:v>火山岩（かざんがん）と深成岩（しんせいがん）の対応</x:v>
      </x:c>
      <x:c r="B276" s="18" t="str">
        <x:v>白っぽい順に、火山岩（かざんがん）は流紋岩・安山岩・玄武岩、対応する深成岩（しんせいがん）は花こう岩・閃緑岩（せんりょくがん）・斑れい岩（はんれいがん）。同じ列ほど鉱物（こうぶつ）組成が似る。つながり：流紋岩／安山岩／玄武岩／花こう岩</x:v>
      </x:c>
    </x:row>
    <x:row r="277" ht="58" customHeight="1">
      <x:c r="A277" s="104" t="str">
        <x:v>火成岩（かせいがん）の色と密度</x:v>
      </x:c>
      <x:c r="B277" s="18" t="str">
        <x:v>無色鉱物（こうぶつ）が多い流紋岩・花こう岩は白っぽく比較的密度が小さい。有色鉱物が多い玄武岩・斑れい岩は黒っぽく比較的密度が大きい。中間が安山岩・閃緑岩。つながり：無色鉱物／有色鉱物／密度／鉱物組成</x:v>
      </x:c>
    </x:row>
    <x:row r="278" ht="58" customHeight="1">
      <x:c r="A278" s="104" t="str">
        <x:v>冷却速度と結晶の大きさ</x:v>
      </x:c>
      <x:c r="B278" s="18" t="str">
        <x:v>ゆっくり冷えると原子が規則正しく並ぶ時間があり結晶が大きくなる。急に冷えると結晶が小さいかガラス質になる。大きい結晶ほど高温だった、とは限らない。つながり：深成岩（しんせいがん）／火山岩（かざんがん）／結晶／冷却速度</x:v>
      </x:c>
    </x:row>
    <x:row r="279" ht="58" customHeight="1">
      <x:c r="A279" s="104" t="str">
        <x:v>火山のハザードマップ</x:v>
      </x:c>
      <x:c r="B279" s="18" t="str">
        <x:v>想定される火口、溶岩流・火砕流・降灰・泥流などの到達範囲や避難場所を示す。噴火ごとに現象や風向が変わるので、地図は予測の一つとして最新情報と併用する。つながり：火砕流／降灰／避難／噴火警戒レベル</x:v>
      </x:c>
    </x:row>
    <x:row r="280" ht="58" customHeight="1">
      <x:c r="A280" s="104" t="str">
        <x:v>震源（しんげん）と震央（しんおう）</x:v>
      </x:c>
      <x:c r="B280" s="18" t="str">
        <x:v>地下で岩盤が破壊され地震が発生した場所が震源（しんげん）、その真上の地表点が震央（しんおう）。震央に最も近い地点が必ず最大震度（しんど）になるとは限らず、地盤や震源の深さも影響する。つながり：震源／震央／震度／断層（だんそう）</x:v>
      </x:c>
    </x:row>
    <x:row r="281" ht="58" customHeight="1">
      <x:c r="A281" s="104" t="str">
        <x:v>P波とS波</x:v>
      </x:c>
      <x:c r="B281" s="18" t="str">
        <x:v>P波は速く伝わる縦波で、固体・液体・気体を伝わり初期微動（しょきびどう）を起こす。S波は遅い横波で、固体だけを伝わり主要動（しゅようどう）を起こす。液体の外核をS波が通らないことは、地球内部を知る手がかりになる。つながり：初期微動／主要動／縦波／横波</x:v>
      </x:c>
    </x:row>
    <x:row r="282" ht="58" customHeight="1">
      <x:c r="A282" s="104" t="str">
        <x:v>初期微動（しょきびどう）と主要動（しゅようどう）</x:v>
      </x:c>
      <x:c r="B282" s="18" t="str">
        <x:v>最初の小さな揺れが初期微動（しょきびどう）でP波による。その後の大きな揺れが主要動（しゅようどう）でS波による。初期微動継続時間はP波到着からS波到着までの時間。つながり：P波／S波／初期微動継続時間／地震計</x:v>
      </x:c>
    </x:row>
    <x:row r="283" ht="58" customHeight="1">
      <x:c r="A283" s="104" t="str">
        <x:v>初期微動（しょきびどう）継続時間と震源（しんげん）距離</x:v>
      </x:c>
      <x:c r="B283" s="18" t="str">
        <x:v>P波とS波の速さの差によって生じ、震源（しんげん）から遠いほど長くなる。同じ地震なら震源距離にほぼ比例するため、既知地点との比例計算で距離を求められる。地震の規模を直接表す時間ではない。つながり：P波／S波／震源距離／比例</x:v>
      </x:c>
    </x:row>
    <x:row r="284" ht="58" customHeight="1">
      <x:c r="A284" s="104" t="str">
        <x:v>地震波の速さを求めるグラフ</x:v>
      </x:c>
      <x:c r="B284" s="18" t="str">
        <x:v>横軸が距離、縦軸が到着時刻または経過時間なら、直線の傾きは時間差÷距離差で、速さ＝距離差÷時間差。したがって傾きが小さいP波の方が速い。絶対的な到着時刻をそのまま伝わる時間として割らず、2点の差か発震時刻を使う。つながり：走時曲線／P波／S波／速さ</x:v>
      </x:c>
    </x:row>
    <x:row r="285" ht="58" customHeight="1">
      <x:c r="A285" s="104" t="str">
        <x:v>発震時刻の求め方</x:v>
      </x:c>
      <x:c r="B285" s="18" t="str">
        <x:v>P波の到着時刻から、震源（しんげん）距離÷P波の速さで求めた伝わる時間を引く。複数観測点の走時曲線を距離0まで延長した交点からも読める。到着時刻と発生時刻を混同しない。つながり：P波到着時刻／震源距離／走時曲線／発震時刻</x:v>
      </x:c>
    </x:row>
    <x:row r="286" ht="58" customHeight="1">
      <x:c r="A286" s="104" t="str">
        <x:v>震度（しんど）</x:v>
      </x:c>
      <x:c r="B286" s="18" t="str">
        <x:v>ある地点での揺れの強さを表し、日本では気象庁震度（しんど）階級0〜7（5と6は弱・強）を用いる。同じ地震でも震源（しんげん）距離・深さ・地盤などで地点ごとに異なる。つながり：気象庁震度階級／地盤／震源距離／マグニチュード</x:v>
      </x:c>
    </x:row>
    <x:row r="287" ht="58" customHeight="1">
      <x:c r="A287" s="104" t="str">
        <x:v>マグニチュード</x:v>
      </x:c>
      <x:c r="B287" s="18" t="str">
        <x:v>地震そのものの規模、すなわち放出エネルギーの大きさを表す。原則として一つの地震に一つの値。1大きくなるとエネルギーは約32倍、2大きいと約1000倍。つながり：震度（しんど）／地震エネルギー／震源（しんげん）／対数</x:v>
      </x:c>
    </x:row>
    <x:row r="288" ht="58" customHeight="1">
      <x:c r="A288" s="104" t="str">
        <x:v>震度（しんど）とマグニチュードの違い</x:v>
      </x:c>
      <x:c r="B288" s="18" t="str">
        <x:v>マグニチュードは地震全体の規模、震度（しんど）は各地点の揺れ。大きな地震でも遠ければ震度は小さいことがあり、小規模でも浅く近ければ強く揺れることがある。つながり：震度／マグニチュード／震源（しんげん）距離／震源の深さ</x:v>
      </x:c>
    </x:row>
    <x:row r="289" ht="58" customHeight="1">
      <x:c r="A289" s="104" t="str">
        <x:v>地震が起こる仕組み</x:v>
      </x:c>
      <x:c r="B289" s="18" t="str">
        <x:v>プレート運動などで岩盤に力がたまり、限界を超えると断層（だんそう）面で急にずれて弾性エネルギーが地震波として放出される。地震後もプレート運動は続く。つながり：プレート／断層／弾性エネルギー／地震波</x:v>
      </x:c>
    </x:row>
    <x:row r="290" ht="58" customHeight="1">
      <x:c r="A290" s="104" t="str">
        <x:v>海溝型地震と内陸地震</x:v>
      </x:c>
      <x:c r="B290" s="18" t="str">
        <x:v>海溝型は沈み込むプレート境界などで起こり、規模が大きく津波を伴うことがある。内陸地震は陸側プレート内部の活断層（だんそう）などで起こり、浅くても局地的に強く揺れる。つながり：海溝／活断層／津波／プレート境界</x:v>
      </x:c>
    </x:row>
    <x:row r="291" ht="58" customHeight="1">
      <x:c r="A291" s="104" t="str">
        <x:v>津波が起こる仕組み</x:v>
      </x:c>
      <x:c r="B291" s="18" t="str">
        <x:v>海底が地震などで急に上下し、海水全体が押し上げ・引き下げられて長い波が広がる。深海では低く速く、浅海で速度が落ち波高が増す。通常の風波とは仕組みが違う。つながり：海底変動／海溝型地震／波高／避難</x:v>
      </x:c>
    </x:row>
    <x:row r="292" ht="58" customHeight="1">
      <x:c r="A292" s="104" t="str">
        <x:v>緊急地震速報の原理</x:v>
      </x:c>
      <x:c r="B292" s="18" t="str">
        <x:v>震源（しんげん）近くで速いP波を検知し、遅いS波による強い揺れが届く前に知らせる。震源に近い地域では間に合わない場合があり、地震そのものを予知する仕組みではない。つながり：P波／S波／初期微動（しょきびどう）／主要動（しゅようどう）</x:v>
      </x:c>
    </x:row>
    <x:row r="293" ht="58" customHeight="1">
      <x:c r="A293" s="104" t="str">
        <x:v>液状化</x:v>
      </x:c>
      <x:c r="B293" s="18" t="str">
        <x:v>水を多く含むゆるい砂地盤が強い揺れで液体のようになり、建物の沈下やマンホールの浮上が起こる現象。埋立地や旧河道などで起こりやすい。つながり：砂地盤／地下水／地震／埋立地</x:v>
      </x:c>
    </x:row>
    <x:row r="294" ht="58" customHeight="1">
      <x:c r="A294" s="104" t="str">
        <x:v>堆積物（たいせきぶつ）の粒の大きさ</x:v>
      </x:c>
      <x:c r="B294" s="18" t="str">
        <x:v>粒が大きい順に、れき（直径2 mm以上）・砂（1/16〜2 mm）・泥（1/16 mm未満）。流れが弱くなると大きな粒から先に沈み、細かな粒ほど遠くまで運ばれやすい。つながり：れき／砂／泥／流速</x:v>
      </x:c>
    </x:row>
    <x:row r="295" ht="58" customHeight="1">
      <x:c r="A295" s="104" t="str">
        <x:v>級化層理</x:v>
      </x:c>
      <x:c r="B295" s="18" t="str">
        <x:v>一枚の層の中で下ほど粒が大きく、上ほど細かくなる構造。流れがしだいに弱まって、大きな粒から順に沈んだことを示し、地層の上下判定にも使える。つながり：堆積（たいせき）／粒径／地層／上下判定</x:v>
      </x:c>
    </x:row>
    <x:row r="296" ht="58" customHeight="1">
      <x:c r="A296" s="104" t="str">
        <x:v>流水で粒が丸くなる理由</x:v>
      </x:c>
      <x:c r="B296" s="18" t="str">
        <x:v>れきが運ばれる間に互いにぶつかり、川底とこすれて角が削られるため。一般に上流では角ばり、下流ほど丸みを帯び小さくなる。岩石の硬さにも左右される。つながり：運搬（うんぱん）／侵食（しんしょく）／れき／河川</x:v>
      </x:c>
    </x:row>
    <x:row r="297" ht="58" customHeight="1">
      <x:c r="A297" s="104" t="str">
        <x:v>堆積（たいせき）岩</x:v>
      </x:c>
      <x:c r="B297" s="18" t="str">
        <x:v>堆積（たいせき）物が押し固められ、粒のすき間を鉱物（こうぶつ）が埋めて固まった岩石。れき岩・砂岩・泥岩・凝灰岩（ぎょうかいがん）・石灰岩・チャートなどがある。層理や化石を含むことが多い。つながり：堆積物／層理／化石／続成作用</x:v>
      </x:c>
    </x:row>
    <x:row r="298" ht="58" customHeight="1">
      <x:c r="A298" s="104" t="str">
        <x:v>れき岩・砂岩・泥岩</x:v>
      </x:c>
      <x:c r="B298" s="18" t="str">
        <x:v>主な粒の大きさで区別する。直径2 mm以上の丸いれきが多いのがれき岩、砂粒が砂岩、非常に細かな泥が泥岩。岩石全体の大きさではなく構成粒子を見る。つながり：れき／砂／泥／粒径</x:v>
      </x:c>
    </x:row>
    <x:row r="299" ht="58" customHeight="1">
      <x:c r="A299" s="104" t="str">
        <x:v>凝灰岩（ぎょうかいがん）</x:v>
      </x:c>
      <x:c r="B299" s="18" t="str">
        <x:v>火山灰などの火山噴出物が堆積（たいせき）して固まった岩石。広い範囲に短期間で積もる火山灰層は、離れた地層を同じ時代として対比する鍵層になりやすい。つながり：火山灰／鍵層／堆積岩／噴火</x:v>
      </x:c>
    </x:row>
    <x:row r="300" ht="58" customHeight="1">
      <x:c r="A300" s="104" t="str">
        <x:v>石灰岩</x:v>
      </x:c>
      <x:c r="B300" s="18" t="str">
        <x:v>サンゴや貝殻などの炭酸カルシウムが堆積（たいせき）してできることが多い。うすい塩酸をかけると二酸化（さんか）炭素を発生して泡立つ。生物起源でない石灰岩もある。つながり：炭酸カルシウム／塩酸／サンゴ／二酸化炭素</x:v>
      </x:c>
    </x:row>
    <x:row r="301" ht="58" customHeight="1">
      <x:c r="A301" s="104" t="str">
        <x:v>チャート</x:v>
      </x:c>
      <x:c r="B301" s="18" t="str">
        <x:v>主に二酸化（さんか）ケイ素からなり、放散虫など微小生物の殻が深海底に堆積（たいせき）してできるものが多い。非常に硬く、うすい塩酸では泡立たない。石灰岩との識別点。つながり：二酸化ケイ素／放散虫／石灰岩／深海</x:v>
      </x:c>
    </x:row>
    <x:row r="302" ht="58" customHeight="1">
      <x:c r="A302" s="104" t="str">
        <x:v>示準化石（しじゅんかせき）</x:v>
      </x:c>
      <x:c r="B302" s="18" t="str">
        <x:v>地層が堆積（たいせき）した年代を知る手がかりとなる化石。短い期間に栄え、広い範囲に分布した生物が適する。例はフズリナ・アンモナイト・ビカリア・ナウマンゾウなど。つながり：年代／地質時代／アンモナイト／地層対比</x:v>
      </x:c>
    </x:row>
    <x:row r="303" ht="58" customHeight="1">
      <x:c r="A303" s="104" t="str">
        <x:v>示相化石（しそうかせき）</x:v>
      </x:c>
      <x:c r="B303" s="18" t="str">
        <x:v>地層が堆積（たいせき）した当時の環境を知る手がかりとなる化石。限られた環境にすむ生物が適し、サンゴは暖かく浅い海、シジミは河口や湖などの汽水・淡水環境を示す。つながり：堆積環境／サンゴ／シジミ／化石</x:v>
      </x:c>
    </x:row>
    <x:row r="304" ht="58" customHeight="1">
      <x:c r="A304" s="104" t="str">
        <x:v>示準化石（しじゅんかせき）と示相化石（しそうかせき）の違い</x:v>
      </x:c>
      <x:c r="B304" s="18" t="str">
        <x:v>示準化石（しじゅんかせき）は『いつ』を示し、短期間・広範囲の生物が適する。示相化石（しそうかせき）は『どんな環境』を示し、生息環境が限られる生物が適する。同じ化石が両方の情報を与えることもある。つながり：年代／堆積（たいせき）環境／地層／化石</x:v>
      </x:c>
    </x:row>
    <x:row r="305" ht="58" customHeight="1">
      <x:c r="A305" s="104" t="str">
        <x:v>古生代の代表的な生物</x:v>
      </x:c>
      <x:c r="B305" s="18" t="str">
        <x:v>海では三葉虫・フズリナ、陸上ではシダ植物が繁栄し、魚類から両生類・爬虫類が現れた。末に大規模な絶滅。化石と時代を一対一の暗記だけにせず順序で捉える。つながり：三葉虫／フズリナ／シダ植物／示準化石（しじゅんかせき）</x:v>
      </x:c>
    </x:row>
    <x:row r="306" ht="58" customHeight="1">
      <x:c r="A306" s="104" t="str">
        <x:v>中生代の代表的な生物</x:v>
      </x:c>
      <x:c r="B306" s="18" t="str">
        <x:v>爬虫類、とくに恐竜が繁栄し、アンモナイトも広く分布した。初期の哺乳類や鳥類も現れた。末の大量絶滅後、鳥類につながる系統を除く恐竜とアンモナイトは姿を消した。つながり：恐竜／アンモナイト／爬虫類／大量絶滅</x:v>
      </x:c>
    </x:row>
    <x:row r="307" ht="58" customHeight="1">
      <x:c r="A307" s="104" t="str">
        <x:v>新生代の代表的な生物</x:v>
      </x:c>
      <x:c r="B307" s="18" t="str">
        <x:v>哺乳類と被子植物（ひししょくぶつ）が多様化した。日本の地層では新生代のビカリアやナウマンゾウなどが年代の手がかりになる。人類が現れたのも新生代。つながり：哺乳類／被子植物／ビカリア／ナウマンゾウ</x:v>
      </x:c>
    </x:row>
    <x:row r="308" ht="58" customHeight="1">
      <x:c r="A308" s="104" t="str">
        <x:v>地層累重（ちそうるいじゅう）の法則</x:v>
      </x:c>
      <x:c r="B308" s="18" t="str">
        <x:v>地層が大きく乱されず順に堆積（たいせき）したなら、下の地層ほど古く上ほど新しい。断層（だんそう）で逆転したり褶曲（しゅうきょく）したりした地層にはそのまま適用せず、上下を示す構造も確認する。つながり：堆積／新旧関係／褶曲／断層</x:v>
      </x:c>
    </x:row>
    <x:row r="309" ht="58" customHeight="1">
      <x:c r="A309" s="104" t="str">
        <x:v>不整合（ふせいごう）</x:v>
      </x:c>
      <x:c r="B309" s="18" t="str">
        <x:v>地層が堆積（たいせき）した後に隆起・侵食（しんしょく）され、その上に新しい地層が堆積してできる時間の不連続な境界。境界面の上下で傾きが違うことや基底れき岩が手がかりになる。つながり：隆起／侵食／堆積／時間間隙</x:v>
      </x:c>
    </x:row>
    <x:row r="310" ht="58" customHeight="1">
      <x:c r="A310" s="104" t="str">
        <x:v>褶曲（しゅうきょく）</x:v>
      </x:c>
      <x:c r="B310" s="18" t="str">
        <x:v>地層が横から強い力を受け、波状に曲がること。山地形成などと関係する。割れてずれる断層（だんそう）とは区別し、地層が連続して曲がっているかを見る。つながり：圧縮／断層／地層／造山運動</x:v>
      </x:c>
    </x:row>
    <x:row r="311" ht="58" customHeight="1">
      <x:c r="A311" s="104" t="str">
        <x:v>断層（だんそう）</x:v>
      </x:c>
      <x:c r="B311" s="18" t="str">
        <x:v>地下の岩盤や地層が割れ、その面を境にずれる構造。引っ張る力で上盤が下がる正断層（だんそう）、圧縮で上盤が上がる逆断層、水平にずれる横ずれ断層がある。つながり：正断層／逆断層／横ずれ断層／地震</x:v>
      </x:c>
    </x:row>
    <x:row r="312" ht="58" customHeight="1">
      <x:c r="A312" s="104" t="str">
        <x:v>正断層（だんそう）と逆断層</x:v>
      </x:c>
      <x:c r="B312" s="18" t="str">
        <x:v>正断層（だんそう）は引っ張る力で上盤が相対的に下がり、逆断層は圧縮する力で上盤が上がる。図では地面の高さではなく、傾いた断層面の上側にある岩盤が上盤。つながり：上盤／下盤／引張力／圧縮力</x:v>
      </x:c>
    </x:row>
    <x:row r="313" ht="58" customHeight="1">
      <x:c r="A313" s="104" t="str">
        <x:v>柱状図（ちゅうじょうず）</x:v>
      </x:c>
      <x:c r="B313" s="18" t="str">
        <x:v>ある地点の地層を、厚さ・岩質・化石などとともに柱状に表した図。上ほど新しいのが基本。標高の異なる地点を比べるときは、図の上端ではなく同じ標高や鍵層を基準にする。つながり：地層／標高／鍵層／地層対比</x:v>
      </x:c>
    </x:row>
    <x:row r="314" ht="58" customHeight="1">
      <x:c r="A314" s="104" t="str">
        <x:v>鍵層</x:v>
      </x:c>
      <x:c r="B314" s="18" t="str">
        <x:v>特徴が明瞭で広く追跡でき、複数地点の地層を対比する目印となる層。短時間に広域へ積もった火山灰層などが適する。同じ岩質というだけで同一層とは限らない。つながり：火山灰層／柱状図／地層対比／噴火</x:v>
      </x:c>
    </x:row>
    <x:row r="315" ht="58" customHeight="1">
      <x:c r="A315" s="104" t="str">
        <x:v>柱状図から地層の傾きを読む</x:v>
      </x:c>
      <x:c r="B315" s="18" t="str">
        <x:v>同じ鍵層の標高を比べると、2地点を結ぶ方向では高い側から低い側へ地層が傾く。地表高度と鍵層までの深さから実際の標高を求める。真の傾斜方向や走向を一意に定めるには、一直線上でない少なくとも3地点が必要。つながり：鍵層／標高／深さ／走向傾斜</x:v>
      </x:c>
    </x:row>
    <x:row r="316" ht="58" customHeight="1">
      <x:c r="A316" s="104" t="str">
        <x:v>ボーリング資料の標高換算</x:v>
      </x:c>
      <x:c r="B316" s="18" t="str">
        <x:v>地層境界の標高＝地表の標高－地表からの深さ。複数地点で同じ層の境界標高を比較する。深さの数値だけを直接比べると、地表の高さが違う場合に誤る。つながり：ボーリング／柱状図／標高／鍵層</x:v>
      </x:c>
    </x:row>
    <x:row r="317" ht="58" customHeight="1">
      <x:c r="A317" s="104" t="str">
        <x:v>地質断面の出来事の順序</x:v>
      </x:c>
      <x:c r="B317" s="18" t="str">
        <x:v>基本は堆積（たいせき）→変形や貫入（かんにゅう）→侵食（しんしょく）→新たな堆積。断層（だんそう）や火成岩（かせいがん）が切っている地層より、その断層・貫入は新しい。切られている方が古いという交差関係を使う。つながり：断層／貫入／不整合／新旧関係</x:v>
      </x:c>
    </x:row>
    <x:row r="318" ht="58" customHeight="1">
      <x:c r="A318" s="104" t="str">
        <x:v>風化（ふうか）と侵食（しんしょく）</x:v>
      </x:c>
      <x:c r="B318" s="18" t="str">
        <x:v>風化（ふうか）は温度変化・水・生物などで岩石がその場でもろくなること。侵食（しんしょく）は流水・波・氷河・風などが岩石や土砂を削り取ること。『その場で崩れる』と『運び去られる』を区別する。つながり：風化／侵食／運搬（うんぱん）／堆積（たいせき）</x:v>
      </x:c>
    </x:row>
    <x:row r="319" ht="58" customHeight="1">
      <x:c r="A319" s="104" t="str">
        <x:v>地下水と帯水層（たいすいそう）</x:v>
      </x:c>
      <x:c r="B319" s="18" t="str">
        <x:v>雨水が地中へしみ込み、砂やれきなど水を通しやすい層に蓄えられた水が地下水。水を通しやすく蓄える地層を帯水層、粘土など通しにくい層を難透水層という。つながり：浸透／帯水層／難透水層／湧水</x:v>
      </x:c>
    </x:row>
    <x:row r="320" ht="58" customHeight="1">
      <x:c r="A320" s="104" t="str">
        <x:v>扇状地（せんじょうち）</x:v>
      </x:c>
      <x:c r="B320" s="18" t="str">
        <x:v>山地から平地へ出た川の流れが急に弱まり、れきや砂が扇形に堆積（たいせき）した地形。水はけがよく、扇端では地下水が湧きやすい。三角州より粒が粗い。つながり：堆積／扇頂／扇端／三角州</x:v>
      </x:c>
    </x:row>
    <x:row r="321" ht="58" customHeight="1">
      <x:c r="A321" s="104" t="str">
        <x:v>三角州</x:v>
      </x:c>
      <x:c r="B321" s="18" t="str">
        <x:v>川が海や湖へ注ぐ河口付近で流れが弱まり、細かな砂や泥が堆積（たいせき）してできる低く平らな地形。水はけが悪いことがあり、洪水や液状化の危険も考える。つながり：河口／堆積／泥／扇状地</x:v>
      </x:c>
    </x:row>
    <x:row r="322" ht="58" customHeight="1">
      <x:c r="A322" s="104" t="str">
        <x:v>河岸段丘（かがんだんきゅう）</x:v>
      </x:c>
      <x:c r="B322" s="18" t="str">
        <x:v>かつての川底や氾濫原が、土地の隆起や海面変化などで川より高い段丘面として残った地形。川が下刻して段差をつくる。海岸にできる海岸段丘と区別する。つながり：隆起／侵食（しんしょく）／段丘面／河川</x:v>
      </x:c>
    </x:row>
    <x:row r="323" ht="58" customHeight="1">
      <x:c r="A323" s="104" t="str">
        <x:v>複数観測点から震央（しんおう）を推定する方法</x:v>
      </x:c>
      <x:c r="B323" s="18" t="str">
        <x:v>地図上で各観測点を中心に、求めた震央（しんおう）距離を半径とする円を描くと、共通の交点付近が震央になる。2地点では候補が2つ残り得るため、3地点以上で絞る。震源（しんげん）距離しかない場合は本来、観測点を中心とする球面の地下での交点が震源で、その真上が震央である。つながり：震央／震源距離／初期微動（しょきびどう）継続時間／走時曲線</x:v>
      </x:c>
    </x:row>
    <x:row r="324" ht="58" customHeight="1">
      <x:c r="A324" s="104" t="str">
        <x:v>反証（はんしょう）できる仮説（かせつ）</x:v>
      </x:c>
      <x:c r="B324" s="18" t="str">
        <x:v>どの観察結果が出れば誤りだと判断するかを、実験前に示せる仮説（かせつ）である。どんな結果にも後付けで合わせられる説明は、科学的に厳しく検討できない。つながり：反証可能性／仮説／予測／検証</x:v>
      </x:c>
    </x:row>
    <x:row r="325" ht="58" customHeight="1">
      <x:c r="A325" s="104" t="str">
        <x:v>予想と違う結果が出たときの順序</x:v>
      </x:c>
      <x:c r="B325" s="18" t="str">
        <x:v>まず記録・操作・器具・条件を確認し、必要なら再実験する。結果を都合よく変えず、再現するなら仮説（かせつ）や前提を修正する。つながり：予想外の結果／再実験／仮説修正／誤差</x:v>
      </x:c>
    </x:row>
    <x:row r="326" ht="58" customHeight="1">
      <x:c r="A326" s="104" t="str">
        <x:v>実験結果から言える範囲</x:v>
      </x:c>
      <x:c r="B326" s="18" t="str">
        <x:v>実際に調べた対象・条件・数値範囲に限って結論を書く。少数の植物や一つの温度で得た結果を、全生物・全条件へ無条件に広げない。つながり：結論／一般化／標本／外挿（がいそう）</x:v>
      </x:c>
    </x:row>
    <x:row r="327" ht="58" customHeight="1">
      <x:c r="A327" s="104" t="str">
        <x:v>操作の理由まで説明する実験計画</x:v>
      </x:c>
      <x:c r="B327" s="18" t="str">
        <x:v>手順だけでなく「温度をそろえて別要因を除く」「最初の気体を捨てて装置内の空気を除く」のように目的を書く。理由があると、必要な操作と不要な操作を判別できる。つながり：実験計画／操作理由／条件制御／安全</x:v>
      </x:c>
    </x:row>
    <x:row r="328" ht="58" customHeight="1">
      <x:c r="A328" s="104" t="str">
        <x:v>測るたび不規則に変わるずれ</x:v>
      </x:c>
      <x:c r="B328" s="18" t="str">
        <x:v>読み取りやわずかな環境変動で正負にばらつくずれを偶然誤差（ぐうぜんごさ）という。回数を増やして平均すると影響を小さくできるが、完全には消えない。つながり：偶然誤差／反復／平均／散らばり</x:v>
      </x:c>
    </x:row>
    <x:row r="329" ht="58" customHeight="1">
      <x:c r="A329" s="104" t="str">
        <x:v>全測定を同じ向きにずらす誤差</x:v>
      </x:c>
      <x:c r="B329" s="18" t="str">
        <x:v>器具のゼロ点ずれや校正不良のように、値を一方向へ偏らせるものを系統誤差（けいとうごさ）という。回数を増やして平均しても直らず、器具・方法の点検や補正が必要である。つながり：系統誤差／ゼロ点／校正／補正</x:v>
      </x:c>
    </x:row>
    <x:row r="330" ht="58" customHeight="1">
      <x:c r="A330" s="104" t="str">
        <x:v>測定誤差と操作ミスの違い</x:v>
      </x:c>
      <x:c r="B330" s="18" t="str">
        <x:v>誤差は正しく測っても残る不確かさ、操作ミスは目盛の読み違い・条件違反など避けられる失敗である。ミスを「誤差」と呼んで平均へ混ぜず、原因を確認して再測定する。つながり：測定誤差／操作ミス／再測定／外れ値</x:v>
      </x:c>
    </x:row>
    <x:row r="331" ht="58" customHeight="1">
      <x:c r="A331" s="104" t="str">
        <x:v>正確さと精密さの違い</x:v>
      </x:c>
      <x:c r="B331" s="18" t="str">
        <x:v>正確さは真の値に近い程度、精密さは繰り返した値同士がそろう程度である。値が密集していても、ゼロ点がずれていれば精密だが正確でない。つながり：正確さ／精密さ／系統誤差（けいとうごさ）／偶然誤差（ぐうぜんごさ）</x:v>
      </x:c>
    </x:row>
    <x:row r="332" ht="58" customHeight="1">
      <x:c r="A332" s="104" t="str">
        <x:v>二つの量の関係を見る点の集まり</x:v>
      </x:c>
      <x:c r="B332" s="18" t="str">
        <x:v>各測定を一つの点として表す散布図を使うと、増減の傾向、ばらつき、外れ値が見える。点が右上がりでも、それだけで因果関係は証明できない。つながり：散布図／相関／外れ値／因果</x:v>
      </x:c>
    </x:row>
    <x:row r="333" ht="58" customHeight="1">
      <x:c r="A333" s="104" t="str">
        <x:v>グラフの傾きが表すもの</x:v>
      </x:c>
      <x:c r="B333" s="18" t="str">
        <x:v>傾きは縦軸の変化量÷横軸の変化量で、横へ1単位進むと縦がどれだけ変わるかを表す。意味と単位は軸によって変わり、距離―時間なら速さになる。つながり：傾き／変化量／速さ／単位</x:v>
      </x:c>
    </x:row>
    <x:row r="334" ht="58" customHeight="1">
      <x:c r="A334" s="104" t="str">
        <x:v>複数の曲線を比べる順序</x:v>
      </x:c>
      <x:c r="B334" s="18" t="str">
        <x:v>凡例を確認し、同じ横軸の値で縦軸を比べ、交点・傾き・最大最小・変化開始時点を見る。一方だけ別の時刻で比べない。つながり：凡例／複数系列／傾き／交点</x:v>
      </x:c>
    </x:row>
    <x:row r="335" ht="58" customHeight="1">
      <x:c r="A335" s="104" t="str">
        <x:v>測定点の間の値を見積もること</x:v>
      </x:c>
      <x:c r="B335" s="18" t="str">
        <x:v>既知データの範囲内で、点と点の間の値を傾向から見積もることを内挿（ないそう）という。関係が滑らかに続くという仮定を使うため、急変点がある場合は注意する。つながり：内挿／近似線／測定範囲／推定</x:v>
      </x:c>
    </x:row>
    <x:row r="336" ht="58" customHeight="1">
      <x:c r="A336" s="104" t="str">
        <x:v>傾向から外れた点の扱い</x:v>
      </x:c>
      <x:c r="B336" s="18" t="str">
        <x:v>すぐ削除せず、記録・器具・条件を確認し、可能なら再測定する。ミスと確認できれば理由付きで除外し、再現するなら新しい現象の手掛かりとして残す。つながり：外れ値／再測定／操作ミス／発見</x:v>
      </x:c>
    </x:row>
    <x:row r="337" ht="58" customHeight="1">
      <x:c r="A337" s="104" t="str">
        <x:v>公式を安全に変形する方法</x:v>
      </x:c>
      <x:c r="B337" s="18" t="str">
        <x:v>求めたい文字だけを残すため、等式の両辺へ同じ演算を行う。V=IRからIを求めるなら両辺をRで割り、I=V/Rとする。つながり：等式／式変形／オームの法則／逆算</x:v>
      </x:c>
    </x:row>
    <x:row r="338" ht="58" customHeight="1">
      <x:c r="A338" s="104" t="str">
        <x:v>答えの単位で式を点検する</x:v>
      </x:c>
      <x:c r="B338" s="18" t="str">
        <x:v>式の各量を単位付きで計算し、求めたい量の単位になるか確認する。距離÷時間がm/sになるように、単位が合わなければ換算または式の誤りを疑う。つながり：次元／単位／式／検算</x:v>
      </x:c>
    </x:row>
    <x:row r="339" ht="58" customHeight="1">
      <x:c r="A339" s="104" t="str">
        <x:v>濃い薬品を薄めるときの確認事項</x:v>
      </x:c>
      <x:c r="B339" s="18" t="str">
        <x:v>薬品ごとの指定手順を守り、保護具を着け、少量ずつ混ぜて発熱や飛散を避ける。特に濃硫酸は必ず酸を水へ少しずつ加え、逆にしない。つながり：希釈／発熱／酸／保護眼鏡</x:v>
      </x:c>
    </x:row>
    <x:row r="340" ht="58" customHeight="1">
      <x:c r="A340" s="104" t="str">
        <x:v>通電後の電熱線へすぐ触れない理由</x:v>
      </x:c>
      <x:c r="B340" s="18" t="str">
        <x:v>見た目が変わらなくても高温になり、電源を切った後もしばらく熱い。通電時間を守り、冷えたことを確かめてから扱う。つながり：電熱線／ジュール熱／通電／やけど</x:v>
      </x:c>
    </x:row>
    <x:row r="341" ht="58" customHeight="1">
      <x:c r="A341" s="104" t="str">
        <x:v>主張・証拠・理由付けの組み立て</x:v>
      </x:c>
      <x:c r="B341" s="18" t="str">
        <x:v>結論となる主張、資料から選んだ証拠、科学概念を使って両者を結ぶ理由付けの順に説明する。数値を写すだけでは、なぜ結論を支えるかが不足する。つながり：主張／証拠／理由付け／科学概念</x:v>
      </x:c>
    </x:row>
    <x:row r="342" ht="58" customHeight="1">
      <x:c r="A342" s="104" t="str">
        <x:v>複数資料が一致しないときの点検</x:v>
      </x:c>
      <x:c r="B342" s="18" t="str">
        <x:v>対象、期間、場所、単位、測定方法、標本数が同じか確認する。条件が違えば数値の不一致は矛盾とは限らず、比較可能な部分だけを使う。つながり：複数資料／測定条件／単位／標本</x:v>
      </x:c>
    </x:row>
    <x:row r="343" ht="58" customHeight="1">
      <x:c r="A343" s="104" t="str">
        <x:v>資料を同じ条件で比べる</x:v>
      </x:c>
      <x:c r="B343" s="18" t="str">
        <x:v>同じ時刻・期間・面積・個体数など、比較の基準をそろえる。総量が大きくても対象数が多いだけなら、一個体当たりでは小さい場合がある。つながり：比較条件／単位当たり量／割合／標本数</x:v>
      </x:c>
    </x:row>
    <x:row r="344" ht="58" customHeight="1">
      <x:c r="A344" s="104" t="str">
        <x:v>標本数が少ない資料の注意</x:v>
      </x:c>
      <x:c r="B344" s="18" t="str">
        <x:v>偶然や個体差の影響を強く受け、全体の傾向を代表しにくい。対象を増やし、選び方の偏りを減らし、ばらつきも示すと信頼性が上がる。つながり：標本数／個体差／偏り／信頼性</x:v>
      </x:c>
    </x:row>
    <x:row r="345" ht="58" customHeight="1">
      <x:c r="A345" s="104" t="str">
        <x:v>欠けたデータを0として扱えない理由</x:v>
      </x:c>
      <x:c r="B345" s="18" t="str">
        <x:v>未測定・測定失敗は「値が0」とは異なる。欠測の印を付け、理由を確認し、平均やグラフへ0として入れない。つながり：欠測値／ゼロ／平均／データ処理</x:v>
      </x:c>
    </x:row>
    <x:row r="346" ht="58" customHeight="1">
      <x:c r="A346" s="104" t="str">
        <x:v>相関だけで原因を決められない理由</x:v>
      </x:c>
      <x:c r="B346" s="18" t="str">
        <x:v>AがBを生むほか、BがAを生む、第三の要因が両方を変える、偶然という可能性がある。時間順序、仕組み、条件制御した実験などを追加して因果を検討する。つながり：相関／因果／交絡要因／対照実験（たいしょうじっけん）</x:v>
      </x:c>
    </x:row>
    <x:row r="347" ht="58" customHeight="1">
      <x:c r="A347" s="104" t="str">
        <x:v>磁界（じかい）</x:v>
      </x:c>
      <x:c r="B347" s="18" t="str">
        <x:v>磁力がはたらく空間。各点で方位磁針のN極が指す向きを磁界（じかい）の向きとする。磁力線（じりょくせん）は閉じた曲線で、磁石の外側ではN極から出てS極へ入り、密な場所ほど磁界が強い。つながり：磁力線／方位磁針／電流</x:v>
      </x:c>
    </x:row>
    <x:row r="348" ht="58" customHeight="1">
      <x:c r="A348" s="104" t="str">
        <x:v>直線電流のまわりの磁界（じかい）</x:v>
      </x:c>
      <x:c r="B348" s="18" t="str">
        <x:v>直線導線のまわりには同心円状の磁界（じかい）ができる。右手の親指を電流の向き、曲げた指を磁界の向きに合わせる。電流が大きいほど、導線に近いほど強い。つながり：右ねじの法則／磁界／電流</x:v>
      </x:c>
    </x:row>
    <x:row r="349" ht="58" customHeight="1">
      <x:c r="A349" s="104" t="str">
        <x:v>コイルの磁界（じかい）</x:v>
      </x:c>
      <x:c r="B349" s="18" t="str">
        <x:v>コイルの各部分が作る磁界（じかい）が重なり、棒磁石に似た磁界になる。右手の指をコイルの電流方向に曲げたとき、親指がコイル内部の磁界・N極の向きを示す。つながり：電磁石／右手の法則／ソレノイド</x:v>
      </x:c>
    </x:row>
    <x:row r="350" ht="58" customHeight="1">
      <x:c r="A350" s="104" t="str">
        <x:v>静電気</x:v>
      </x:c>
      <x:c r="B350" s="18" t="str">
        <x:v>異なる物質をこすったときなどに電子が移動して、物体に電気がたまる現象。同符号の電気どうしは反発し、異符号どうしは引き合う。陽子（ようし）は原子核（げんしかく）から移動しない。つながり：電子／電荷／放電</x:v>
      </x:c>
    </x:row>
    <x:row r="351" ht="58" customHeight="1">
      <x:c r="A351" s="104" t="str">
        <x:v>放電</x:v>
      </x:c>
      <x:c r="B351" s="18" t="str">
        <x:v>たまった電気が空間や導体を通って急に移動する現象。火花放電、雷、真空放電などがある。乾燥時は電荷が逃げにくく静電気がたまりやすい。つながり：静電気／雷／電子</x:v>
      </x:c>
    </x:row>
    <x:row r="352" ht="58" customHeight="1">
      <x:c r="A352" s="104" t="str">
        <x:v>電流の向きと電子の向き</x:v>
      </x:c>
      <x:c r="B352" s="18" t="str">
        <x:v>電流の向きは回路の外部で＋極から−極へと定義する。金属中の自由電子は−極から＋極へ移動し、電流と逆向き。定義が電子発見より先に決まったためである。つながり：自由電子／電流／極性</x:v>
      </x:c>
    </x:row>
    <x:row r="353" ht="58" customHeight="1">
      <x:c r="A353" s="104" t="str">
        <x:v>電流</x:v>
      </x:c>
      <x:c r="B353" s="18" t="str">
        <x:v>電荷の流れの大きさ。単位はA（アンペア）で、1 A＝1000 mA。回路のある点を1秒間に通る電荷が多いほど電流が大きい。電流計で測る。つながり：アンペア／電流計／電子</x:v>
      </x:c>
    </x:row>
    <x:row r="354" ht="58" customHeight="1">
      <x:c r="A354" s="104" t="str">
        <x:v>電圧</x:v>
      </x:c>
      <x:c r="B354" s="18" t="str">
        <x:v>電流を流そうとするはたらきの大きさで、2点間の電位差。単位はV（ボルト）、電圧計で測る。電圧が同じでも抵抗が違えば電流は異なる。つながり：ボルト／電圧計／オームの法則</x:v>
      </x:c>
    </x:row>
    <x:row r="355" ht="58" customHeight="1">
      <x:c r="A355" s="104" t="str">
        <x:v>電気抵抗</x:v>
      </x:c>
      <x:c r="B355" s="18" t="str">
        <x:v>電流の流れにくさ。単位はΩ（オーム）。同じ電圧なら抵抗が大きいほど電流は小さい。抵抗器では電気エネルギーが熱へ変換される。つながり：オーム／電流／ジュール熱</x:v>
      </x:c>
    </x:row>
    <x:row r="356" ht="58" customHeight="1">
      <x:c r="A356" s="104" t="str">
        <x:v>オームの法則</x:v>
      </x:c>
      <x:c r="B356" s="18" t="str">
        <x:v>導体の温度などが一定なら、流れる電流Iは加えた電圧Vに比例する。V＝IR、I＝V/R、R＝V/I。VはV、IはA、RはΩにそろえる。つながり：電圧／電流／抵抗</x:v>
      </x:c>
    </x:row>
    <x:row r="357" ht="58" customHeight="1">
      <x:c r="A357" s="104" t="str">
        <x:v>V-Iグラフ</x:v>
      </x:c>
      <x:c r="B357" s="18" t="str">
        <x:v>オームの法則に従う抵抗器では、横軸I・縦軸Vなら原点を通る直線で、傾きV/Iが抵抗。横軸V・縦軸Iなら傾きは1/Rなので軸を必ず確認する。つながり：オームの法則／傾き／抵抗</x:v>
      </x:c>
    </x:row>
    <x:row r="358" ht="58" customHeight="1">
      <x:c r="A358" s="104" t="str">
        <x:v>導線の抵抗を変える条件</x:v>
      </x:c>
      <x:c r="B358" s="18" t="str">
        <x:v>同じ材質・温度なら、導線が長いほど抵抗は大きく、断面積が大きいほど小さい。材質や温度でも変わる。太い導線は電流の通り道が広い。つながり：抵抗／長さ／断面積</x:v>
      </x:c>
    </x:row>
    <x:row r="359" ht="58" customHeight="1">
      <x:c r="A359" s="104" t="str">
        <x:v>直列回路の電流</x:v>
      </x:c>
      <x:c r="B359" s="18" t="str">
        <x:v>分かれ道がないため、回路のどの点でも電流は等しい。I＝I₁＝I₂。各抵抗で電流が「使われて減る」のではなく、電気エネルギーが変換される。つながり：直列回路／電圧／電荷保存</x:v>
      </x:c>
    </x:row>
    <x:row r="360" ht="58" customHeight="1">
      <x:c r="A360" s="104" t="str">
        <x:v>直列回路の電圧</x:v>
      </x:c>
      <x:c r="B360" s="18" t="str">
        <x:v>電源電圧は各抵抗にかかる電圧の和。V＝V₁＋V₂。直列の各抵抗には同じ電流が流れるため、抵抗が大きい部分ほど電圧も大きく分配される。つながり：直列回路／電圧分配／オームの法則</x:v>
      </x:c>
    </x:row>
    <x:row r="361" ht="58" customHeight="1">
      <x:c r="A361" s="104" t="str">
        <x:v>直列回路の合成抵抗</x:v>
      </x:c>
      <x:c r="B361" s="18" t="str">
        <x:v>直列につないだ抵抗の合成抵抗はR＝R₁＋R₂＋…。抵抗を増やすほど全体の抵抗は大きくなり、同じ電源電圧なら回路全体の電流は小さくなる。つながり：直列回路／オームの法則／電流</x:v>
      </x:c>
    </x:row>
    <x:row r="362" ht="58" customHeight="1">
      <x:c r="A362" s="104" t="str">
        <x:v>並列回路の電流</x:v>
      </x:c>
      <x:c r="B362" s="18" t="str">
        <x:v>分岐前の電流は各枝を流れる電流の和。I＝I₁＋I₂。抵抗が小さい枝ほど大きな電流が流れる。合流後は再び枝電流の合計になる。つながり：並列回路／分岐／電荷保存</x:v>
      </x:c>
    </x:row>
    <x:row r="363" ht="58" customHeight="1">
      <x:c r="A363" s="104" t="str">
        <x:v>並列回路の電圧</x:v>
      </x:c>
      <x:c r="B363" s="18" t="str">
        <x:v>各枝の両端が同じ2点につながるため、各枝と電源の電圧は等しい。V＝V₁＝V₂。家庭の器具が並列なのは、各器具に一定の電圧をかけ独立に使うため。つながり：並列回路／家庭回路／電流</x:v>
      </x:c>
    </x:row>
    <x:row r="364" ht="58" customHeight="1">
      <x:c r="A364" s="104" t="str">
        <x:v>並列回路の合成抵抗</x:v>
      </x:c>
      <x:c r="B364" s="18" t="str">
        <x:v>2抵抗なら1/R＝1/R₁＋1/R₂、またはR＝R₁R₂/(R₁＋R₂)。合成抵抗は必ず最小の枝抵抗より小さい。等しいRを2本並列ならR/2。つながり：並列回路／合成抵抗／オームの法則</x:v>
      </x:c>
    </x:row>
    <x:row r="365" ht="58" customHeight="1">
      <x:c r="A365" s="104" t="str">
        <x:v>直列・並列の合成抵抗の見分け</x:v>
      </x:c>
      <x:c r="B365" s="18" t="str">
        <x:v>直列は大きくなるので足し算、並列は通り道が増えるので最小の抵抗より小さくなる。この大小関係を使えば計算ミスを検出できる。つながり：直列回路／並列回路／合成抵抗</x:v>
      </x:c>
    </x:row>
    <x:row r="366" ht="58" customHeight="1">
      <x:c r="A366" s="104" t="str">
        <x:v>電流計のつなぎ方</x:v>
      </x:c>
      <x:c r="B366" s="18" t="str">
        <x:v>測りたい部分に直列につなぎ、＋端子から電流を入れる。予想できないときは最大の−端子から始める。電流計を電源へ直接並列につなぐと大電流が流れ危険。つながり：直列接続／端子／過電流</x:v>
      </x:c>
    </x:row>
    <x:row r="367" ht="58" customHeight="1">
      <x:c r="A367" s="104" t="str">
        <x:v>電圧計のつなぎ方</x:v>
      </x:c>
      <x:c r="B367" s="18" t="str">
        <x:v>電圧を測りたい部分の両端に並列につなぎ、＋側を＋端子へ入れる。内部抵抗が大きく、回路を流れる電流をほとんど変えない。予想できないときは最大レンジから。つながり：並列接続／端子／電位差</x:v>
      </x:c>
    </x:row>
    <x:row r="368" ht="58" customHeight="1">
      <x:c r="A368" s="104" t="str">
        <x:v>電流計・電圧計の目盛り</x:v>
      </x:c>
      <x:c r="B368" s="18" t="str">
        <x:v>接続した端子の最大値に合わせて尺度を読み替える。目盛り板が0〜3で3 A端子ならそのまま、300 mA端子なら「3」を300 mAと読む。単位換算にも注意。つながり：測定レンジ／mA／目盛り</x:v>
      </x:c>
    </x:row>
    <x:row r="369" ht="58" customHeight="1">
      <x:c r="A369" s="104" t="str">
        <x:v>回路図の接続点</x:v>
      </x:c>
      <x:c r="B369" s="18" t="str">
        <x:v>導線の交点に●があれば接続、単に交差して●がなければ通常は接続していない。部品の位置をずらしても、同じ節点どうしがつながれば同じ回路である。つながり：回路図／直列／並列</x:v>
      </x:c>
    </x:row>
    <x:row r="370" ht="58" customHeight="1">
      <x:c r="A370" s="104" t="str">
        <x:v>複雑な回路の解き順</x:v>
      </x:c>
      <x:c r="B370" s="18" t="str">
        <x:v>まず直列・並列のまとまりを見つけて合成抵抗を求め、全体電流を出す。次に並列部の電圧、枝電流へ戻る。求めた電流・電圧が和や等しさを満たすか検算する。つながり：合成抵抗／オームの法則／検算</x:v>
      </x:c>
    </x:row>
    <x:row r="371" ht="58" customHeight="1">
      <x:c r="A371" s="104" t="str">
        <x:v>電流が流れない枝</x:v>
      </x:c>
      <x:c r="B371" s="18" t="str">
        <x:v>スイッチが開いている枝には閉じた経路がなく電流は0。導線で抵抗器を迂回する短絡路があると、理想的には抵抗器の両端電圧が0となり、ほぼ電流が流れない。つながり：開回路／短絡／電位差</x:v>
      </x:c>
    </x:row>
    <x:row r="372" ht="58" customHeight="1">
      <x:c r="A372" s="104" t="str">
        <x:v>豆電球のV-I特性</x:v>
      </x:c>
      <x:c r="B372" s="18" t="str">
        <x:v>豆電球は電流が増えるとフィラメントが高温になり抵抗も増えるため、V-Iグラフは直線にならない。常に一定抵抗として扱える抵抗器との違いに注意。つながり：フィラメント／抵抗／ジュール熱</x:v>
      </x:c>
    </x:row>
    <x:row r="373" ht="58" customHeight="1">
      <x:c r="A373" s="104" t="str">
        <x:v>電力</x:v>
      </x:c>
      <x:c r="B373" s="18" t="str">
        <x:v>電気器具が1秒あたりに変換する電気エネルギー。電力P＝電圧V×電流I、単位はW。1 W＝1 J/s。同じ時間なら電力が大きいほど使う電気エネルギーも大きい。つながり：ワット／電力量／電圧</x:v>
      </x:c>
    </x:row>
    <x:row r="374" ht="58" customHeight="1">
      <x:c r="A374" s="104" t="str">
        <x:v>電力と抵抗の式</x:v>
      </x:c>
      <x:c r="B374" s="18" t="str">
        <x:v>P＝VIにV＝IRを組み合わせるとP＝I²R、P＝V²/R。同じ電流なら抵抗が大きいほど発熱電力が大きく、同じ電圧なら抵抗が小さいほど大きい。条件を確認する。つながり：オームの法則／ジュール熱／電力</x:v>
      </x:c>
    </x:row>
    <x:row r="375" ht="58" customHeight="1">
      <x:c r="A375" s="104" t="str">
        <x:v>電力量</x:v>
      </x:c>
      <x:c r="B375" s="18" t="str">
        <x:v>一定の電力を時間tだけ使ったときのエネルギーで、電力量＝電力×時間。Wと秒ならJ、Wと時間ならWh。1 Wh＝3600 J。つながり：電力／ジュール／kWh</x:v>
      </x:c>
    </x:row>
    <x:row r="376" ht="58" customHeight="1">
      <x:c r="A376" s="104" t="str">
        <x:v>キロワット時</x:v>
      </x:c>
      <x:c r="B376" s="18" t="str">
        <x:v>家庭の電力量に使う単位kWh。1 kWh＝1000 W×3600 s＝3.6×10⁶ J。例：500 Wを2時間使うと1 kWh。kWとkWhを混同しない。つながり：電力量／電気料金／電力</x:v>
      </x:c>
    </x:row>
    <x:row r="377" ht="58" customHeight="1">
      <x:c r="A377" s="104" t="str">
        <x:v>ジュール熱</x:v>
      </x:c>
      <x:c r="B377" s="18" t="str">
        <x:v>電流が抵抗を通ると生じる熱。I・Rなどを一定とみなせるとき、熱量Q＝電力P×時間t＝VIt＝I²Rtで、単位はJ。calを使う問題では与えられた換算に従う。つながり：発熱／電力／抵抗</x:v>
      </x:c>
    </x:row>
    <x:row r="378" ht="58" customHeight="1">
      <x:c r="A378" s="104" t="str">
        <x:v>水温上昇と電熱線</x:v>
      </x:c>
      <x:c r="B378" s="18" t="str">
        <x:v>電熱線が与えた熱量が同じなら、水の質量が小さいほど温度上昇は大きい。実際は容器や空気へ熱が逃げるため、電気エネルギーのすべてが水の温度上昇に使われない。つながり：ジュール熱／熱容量／効率</x:v>
      </x:c>
    </x:row>
    <x:row r="379" ht="58" customHeight="1">
      <x:c r="A379" s="104" t="str">
        <x:v>家庭用電気器具の並列接続</x:v>
      </x:c>
      <x:c r="B379" s="18" t="str">
        <x:v>各器具に同じ100 Vがかかり、別々に入切できるよう並列接続される。器具を増やすと全体の合成抵抗は下がり、幹線の合計電流は増える。つながり：並列回路／100V／過電流</x:v>
      </x:c>
    </x:row>
    <x:row r="380" ht="58" customHeight="1">
      <x:c r="A380" s="104" t="str">
        <x:v>ブレーカー</x:v>
      </x:c>
      <x:c r="B380" s="18" t="str">
        <x:v>回路に許容量を超える電流が流れたとき、自動的に回路を切って発熱・火災を防ぐ装置。多数の高電力器具を同時に使うと合計電流が大きくなり作動する。つながり：過電流／電力／家庭回路</x:v>
      </x:c>
    </x:row>
    <x:row r="381" ht="58" customHeight="1">
      <x:c r="A381" s="104" t="str">
        <x:v>定格表示</x:v>
      </x:c>
      <x:c r="B381" s="18" t="str">
        <x:v>「100 V・1200 W」は100 Vで正しく使うと1200 Wを消費するという意味。このとき電流はI＝P/V＝12 A。定格電圧と違う電圧での使用は性能低下や破損の原因。つながり：電力／電圧／電流</x:v>
      </x:c>
    </x:row>
    <x:row r="382" ht="58" customHeight="1">
      <x:c r="A382" s="104" t="str">
        <x:v>直流と交流</x:v>
      </x:c>
      <x:c r="B382" s="18" t="str">
        <x:v>直流は電流の向きが一定で、乾電池などが供給する。交流は向きと大きさが周期的に変化し、家庭のコンセントでは日本で東日本50 Hz・西日本60 Hzが主。つながり：乾電池／周波数／発電機</x:v>
      </x:c>
    </x:row>
    <x:row r="383" ht="58" customHeight="1">
      <x:c r="A383" s="104" t="str">
        <x:v>電流が磁界（じかい）から受ける力</x:v>
      </x:c>
      <x:c r="B383" s="18" t="str">
        <x:v>電流が磁界（じかい）と平行でないとき、導線は電流と磁界の両方に垂直な向きに力を受ける。力は直角のとき最大、平行のとき0。電流か磁界だけを逆にすると力も逆になる。つながり：モーター／磁界／電流</x:v>
      </x:c>
    </x:row>
    <x:row r="384" ht="58" customHeight="1">
      <x:c r="A384" s="104" t="str">
        <x:v>電磁力を大きくする方法</x:v>
      </x:c>
      <x:c r="B384" s="18" t="str">
        <x:v>流す電流を大きくする、磁界（じかい）を強くする、磁界内の導線を長くする。コイルでは巻き数を増やすことも有効。向きを変える操作と大きさを変える操作を区別する。つながり：モーター／コイル／磁界</x:v>
      </x:c>
    </x:row>
    <x:row r="385" ht="58" customHeight="1">
      <x:c r="A385" s="104" t="str">
        <x:v>モーターの原理</x:v>
      </x:c>
      <x:c r="B385" s="18" t="str">
        <x:v>磁界（じかい）中のコイルに電流を流すと、コイルの両側が反対向きの力を受けて回転する。整流子が半回転ごとに電流方向を切り替え、同じ向きの回転を続けさせる。つながり：電磁力／整流子／エネルギー変換</x:v>
      </x:c>
    </x:row>
    <x:row r="386" ht="58" customHeight="1">
      <x:c r="A386" s="104" t="str">
        <x:v>電磁誘導（でんじゆうどう）</x:v>
      </x:c>
      <x:c r="B386" s="18" t="str">
        <x:v>コイルを貫く磁界（じかい）が変化すると、コイルに電圧が生じて電流が流れる現象。磁石を止めたままでは流れず、動かす速さ・磁石の強さ・巻き数を増すと誘導電流（ゆうどうでんりゅう）は大きくなる。つながり：誘導電流／発電機／磁束変化</x:v>
      </x:c>
    </x:row>
    <x:row r="387" ht="58" customHeight="1">
      <x:c r="A387" s="104" t="str">
        <x:v>誘導電流（ゆうどうでんりゅう）の向き</x:v>
      </x:c>
      <x:c r="B387" s="18" t="str">
        <x:v>磁石をコイルへ近づけるときと遠ざけるときで逆向きになる。N極とS極を入れ替えても逆になる。変化を妨げる向きに磁界（じかい）を作るのが基本。つながり：電磁誘導（でんじゆうどう）／レンツの法則／検流計</x:v>
      </x:c>
    </x:row>
    <x:row r="388" ht="58" customHeight="1">
      <x:c r="A388" s="104" t="str">
        <x:v>発電機の原理</x:v>
      </x:c>
      <x:c r="B388" s="18" t="str">
        <x:v>磁界（じかい）中でコイルを回転させ、コイルを貫く磁界を連続的に変化させて電磁誘導（でんじゆうどう）を起こす。運動エネルギーを電気エネルギーへ変換し、基本的に交流を得る。つながり：電磁誘導／交流／エネルギー変換</x:v>
      </x:c>
    </x:row>
    <x:row r="389" ht="58" customHeight="1">
      <x:c r="A389" s="104" t="str">
        <x:v>完全燃焼と不完全燃焼</x:v>
      </x:c>
      <x:c r="B389" s="18" t="str">
        <x:v>炭素を含む物質が十分な酸素で燃えると主に二酸化（さんか）炭素、不足すると一酸化炭素やすすが生じる。不完全燃焼は得られるエネルギーが少なく、一酸化炭素中毒の危険がある。つながり：酸素／一酸化炭素／すす</x:v>
      </x:c>
    </x:row>
    <x:row r="390" ht="58" customHeight="1">
      <x:c r="A390" s="104" t="str">
        <x:v>鉄がさびる条件</x:v>
      </x:c>
      <x:c r="B390" s="18" t="str">
        <x:v>鉄がさびるには水と酸素が必要。塩分はさびを速める。乾燥剤で水を除く、煮沸水に油を浮かべ酸素を遮る実験で、どちらかがないとさびにくいと分かる。つながり：酸化（さんか）／水／酸素</x:v>
      </x:c>
    </x:row>
    <x:row r="391" ht="58" customHeight="1">
      <x:c r="A391" s="104" t="str">
        <x:v>さびを防ぐ方法</x:v>
      </x:c>
      <x:c r="B391" s="18" t="str">
        <x:v>塗装・油・めっきで水や酸素との接触を防ぐ、さびにくい合金を使う、犠牲になる金属を付けるなど。表面を傷つけると保護層が破れ、さびやすくなる。つながり：鉄／酸化（さんか）／めっき</x:v>
      </x:c>
    </x:row>
    <x:row r="392" ht="58" customHeight="1">
      <x:c r="A392" s="104" t="str">
        <x:v>単体と化合物</x:v>
      </x:c>
      <x:c r="B392" s="18" t="str">
        <x:v>1種類の元素だけでできた純物質が単体、2種類以上の元素が化学的に結びついた純物質が化合物。混合物は物質同士が結びつかず混ざったものなので別分類。つながり：元素／純物質／混合物</x:v>
      </x:c>
    </x:row>
    <x:row r="393" ht="58" customHeight="1">
      <x:c r="A393" s="104" t="str">
        <x:v>原子</x:v>
      </x:c>
      <x:c r="B393" s="18" t="str">
        <x:v>化学変化でそれ以上分けられない、物質をつくる基本的な粒子。化学変化では原子の組み合わせが変わるだけで、原子の種類と数は保存される。つながり：元素／分子／質量保存</x:v>
      </x:c>
    </x:row>
    <x:row r="394" ht="58" customHeight="1">
      <x:c r="A394" s="104" t="str">
        <x:v>元素</x:v>
      </x:c>
      <x:c r="B394" s="18" t="str">
        <x:v>同じ種類の原子をひとまとめにした概念。物質を構成する原子の種類を表し、元素記号で示す。元素と単体は異なり、酸素元素は水にも含まれるが、酸素という単体はO₂。つながり：原子／元素記号／単体</x:v>
      </x:c>
    </x:row>
    <x:row r="395" ht="58" customHeight="1">
      <x:c r="A395" s="104" t="str">
        <x:v>分子</x:v>
      </x:c>
      <x:c r="B395" s="18" t="str">
        <x:v>物質の性質を示す最小のまとまりとして、複数の原子が結びついた粒子。水H₂Oや酸素O₂は分子からなる。一方、塩化ナトリウムや金属は分子を作らない。つながり：原子／化学式／分子を作らない物質</x:v>
      </x:c>
    </x:row>
    <x:row r="396" ht="58" customHeight="1">
      <x:c r="A396" s="104" t="str">
        <x:v>分子をつくらない物質</x:v>
      </x:c>
      <x:c r="B396" s="18" t="str">
        <x:v>塩化ナトリウムなどのイオン結晶、鉄・銅などの金属は独立した分子を作らず、多数の粒子が連続して並ぶ。化学式NaClやFeは粒子の種類・比を表す。つながり：イオン結晶／金属／化学式</x:v>
      </x:c>
    </x:row>
    <x:row r="397" ht="58" customHeight="1">
      <x:c r="A397" s="104" t="str">
        <x:v>元素記号の書き方</x:v>
      </x:c>
      <x:c r="B397" s="18" t="str">
        <x:v>1文字目は大文字、2文字目があるときは小文字。Coはコバルト、COは炭素Cと酸素Oからなる一酸化（さんか）炭素を表し意味が異なる。文字の大小を正確に書く。つながり：元素／化学式／原子</x:v>
      </x:c>
    </x:row>
    <x:row r="398" ht="58" customHeight="1">
      <x:c r="A398" s="104" t="str">
        <x:v>重要な元素記号①（一覧）</x:v>
      </x:c>
      <x:c r="B398" s="18" t="str">
        <x:v>水素H、炭素C、窒素N、酸素O、硫黄S、塩素Cl。個別カードで覚えた後、名称と記号を双方向で総復習する。Clのlは小文字のエル。つながり：元素／化学式／非金属</x:v>
      </x:c>
    </x:row>
    <x:row r="399" ht="58" customHeight="1">
      <x:c r="A399" s="104" t="str">
        <x:v>重要な元素記号②（一覧）</x:v>
      </x:c>
      <x:c r="B399" s="18" t="str">
        <x:v>ナトリウムNa、マグネシウムMg、アルミニウムAl、カリウムK、カルシウムCa、鉄Fe、銅Cu、亜鉛（あえん）Zn、銀Ag、バリウムBa。個別カードで覚えた後に総復習する。つながり：金属／イオン／化学式</x:v>
      </x:c>
    </x:row>
    <x:row r="400" ht="58" customHeight="1">
      <x:c r="A400" s="104" t="str">
        <x:v>化学式</x:v>
      </x:c>
      <x:c r="B400" s="18" t="str">
        <x:v>物質を元素記号と数字で表した式。右下の小さい数字は、その粒子内の原子数や原子数の比を示す。数字1は書かない。H₂OはH原子2個とO原子1個。つながり：元素記号／分子／原子数</x:v>
      </x:c>
    </x:row>
    <x:row r="401" ht="58" customHeight="1">
      <x:c r="A401" s="104" t="str">
        <x:v>係数と右下の数字</x:v>
      </x:c>
      <x:c r="B401" s="18" t="str">
        <x:v>2H₂Oの前の2は水分子2個を表し、式全体にかかるためH原子4個・O原子2個。H₂O₂の右下数字は1分子の組成を変える。係数は変えてよいが右下数字は変えない。つながり：化学反応式（かがくはんのうしき）／原子数／化学式</x:v>
      </x:c>
    </x:row>
    <x:row r="402" ht="58" customHeight="1">
      <x:c r="A402" s="104" t="str">
        <x:v>物理変化と化学変化</x:v>
      </x:c>
      <x:c r="B402" s="18" t="str">
        <x:v>物理変化は状態や形が変わっても物質の種類が同じ。化学変化は原子の組み合わせが変わり別の物質ができる。融解（ゆうかい）は物理変化、燃焼や分解は化学変化。つながり：状態変化／化学反応／原子</x:v>
      </x:c>
    </x:row>
    <x:row r="403" ht="58" customHeight="1">
      <x:c r="A403" s="104" t="str">
        <x:v>化合</x:v>
      </x:c>
      <x:c r="B403" s="18" t="str">
        <x:v>2種類以上の物質が結びついて別の1種類の物質になる化学変化。鉄と硫黄を加熱して硫化（りゅうか）鉄ができる反応など。単なる混合とは性質が変わる点で異なる。つながり：化合物／硫化鉄／分解</x:v>
      </x:c>
    </x:row>
    <x:row r="404" ht="58" customHeight="1">
      <x:c r="A404" s="104" t="str">
        <x:v>分解（化学変化）</x:v>
      </x:c>
      <x:c r="B404" s="18" t="str">
        <x:v>1種類の物質が2種類以上の別の物質に分かれる化学変化。加熱による熱分解や、電流による電気分解がある。状態変化のように元と同じ物質へ戻るだけではない。つながり：熱分解／電気分解／化合</x:v>
      </x:c>
    </x:row>
    <x:row r="405" ht="58" customHeight="1">
      <x:c r="A405" s="104" t="str">
        <x:v>化学反応式（かがくはんのうしき）</x:v>
      </x:c>
      <x:c r="B405" s="18" t="str">
        <x:v>反応物を左辺、生成物を右辺に化学式で書き矢印で結ぶ。両辺で各元素の原子数が等しくなるよう係数を最小の整数比で付ける。化学式の右下数字は変えない。つながり：係数／質量保存／原子数</x:v>
      </x:c>
    </x:row>
    <x:row r="406" ht="58" customHeight="1">
      <x:c r="A406" s="104" t="str">
        <x:v>化学反応式（かがくはんのうしき）の合わせ方</x:v>
      </x:c>
      <x:c r="B406" s="18" t="str">
        <x:v>①正しい化学式を書く、②複雑な物質から元素ごとに原子数を合わせる、③最後に全元素を確認、④係数を最小整数比にする。H₂＋O₂→H₂Oなら2H₂＋O₂→2H₂O。つながり：原子数保存／係数／化学式</x:v>
      </x:c>
    </x:row>
    <x:row r="407" ht="58" customHeight="1">
      <x:c r="A407" s="104" t="str">
        <x:v>水の生成反応</x:v>
      </x:c>
      <x:c r="B407" s="18" t="str">
        <x:v>水素と酸素が反応して水ができる。2H₂＋O₂→2H₂O。分子数比は2：1：2で、各辺のH原子4個、O原子2個が保存される。つながり：水素／酸素／化学反応式（かがくはんのうしき）</x:v>
      </x:c>
    </x:row>
    <x:row r="408" ht="58" customHeight="1">
      <x:c r="A408" s="104" t="str">
        <x:v>炭素の燃焼反応</x:v>
      </x:c>
      <x:c r="B408" s="18" t="str">
        <x:v>炭素が十分な酸素中で燃えると二酸化（さんか）炭素になる。C＋O₂→CO₂。反応後に質量が増えるように見えるのは、空気中の酸素が結びついたため。つながり：酸化／二酸化炭素／質量保存</x:v>
      </x:c>
    </x:row>
    <x:row r="409" ht="58" customHeight="1">
      <x:c r="A409" s="104" t="str">
        <x:v>マグネシウムの燃焼反応</x:v>
      </x:c>
      <x:c r="B409" s="18" t="str">
        <x:v>マグネシウムが強い光を出して燃え、白色の酸化（さんか）マグネシウムになる。2Mg＋O₂→2MgO。粉末などを質量測定する実験では、るつぼのふたを少しずらして加熱し、強い光を直視しない。つながり：酸化／酸化マグネシウム／質量比</x:v>
      </x:c>
    </x:row>
    <x:row r="410" ht="58" customHeight="1">
      <x:c r="A410" s="104" t="str">
        <x:v>銅の酸化（さんか）反応</x:v>
      </x:c>
      <x:c r="B410" s="18" t="str">
        <x:v>銅粉を空気中で加熱すると、酸素と結びついて黒色の酸化（さんか）銅になる。2Cu＋O₂→2CuO。加熱・冷却・測定を繰り返し、質量が一定なら反応がほぼ完了したと判断する。つながり：酸化銅／酸化／質量増加</x:v>
      </x:c>
    </x:row>
    <x:row r="411" ht="58" customHeight="1">
      <x:c r="A411" s="104" t="str">
        <x:v>鉄と硫黄の化合</x:v>
      </x:c>
      <x:c r="B411" s="18" t="str">
        <x:v>鉄粉と硫黄粉を少量混ぜ、試験管口を人へ向けず一部を加熱する。赤熱し始めたら加熱をやめても発熱して反応し、黒色のFeSができる。混合物と違い、生成物から磁石で鉄を分けられない。つながり：化合／硫化（りゅうか）鉄／混合物</x:v>
      </x:c>
    </x:row>
    <x:row r="412" ht="58" customHeight="1">
      <x:c r="A412" s="104" t="str">
        <x:v>酸化（さんか）銀の熱分解</x:v>
      </x:c>
      <x:c r="B412" s="18" t="str">
        <x:v>黒色の酸化（さんか）銀を加熱すると、銀と酸素に分解する。2Ag₂O→4Ag＋O₂。発生気体は線香の火を強くし、残った銀は金属光沢と導電性を示す。つながり：熱分解／酸素／銀</x:v>
      </x:c>
    </x:row>
    <x:row r="413" ht="58" customHeight="1">
      <x:c r="A413" s="104" t="str">
        <x:v>炭酸水素ナトリウムの熱分解</x:v>
      </x:c>
      <x:c r="B413" s="18" t="str">
        <x:v>加熱すると炭酸ナトリウム・二酸化（さんか）炭素・水になる。2NaHCO₃→Na₂CO₃＋CO₂＋H₂O。試験管の口を下げ、生成した水が加熱部へ戻り割れるのを防ぐ。つながり：熱分解／二酸化炭素／炭酸ナトリウム</x:v>
      </x:c>
    </x:row>
    <x:row r="414" ht="58" customHeight="1">
      <x:c r="A414" s="104" t="str">
        <x:v>炭酸水素ナトリウムと炭酸ナトリウムの判別</x:v>
      </x:c>
      <x:c r="B414" s="18" t="str">
        <x:v>どちらも白色固体だが、水溶液へフェノールフタレイン溶液を加えると、より強いアルカリ性の炭酸ナトリウムは赤色が濃く、炭酸水素ナトリウムは薄い。水への溶け方も異なる。つながり：熱分解／アルカリ性／指示薬</x:v>
      </x:c>
    </x:row>
    <x:row r="415" ht="58" customHeight="1">
      <x:c r="A415" s="104" t="str">
        <x:v>水の電気分解</x:v>
      </x:c>
      <x:c r="B415" s="18" t="str">
        <x:v>純水は電流を通しにくいため水酸化（さんか）ナトリウムなどを少量加える。陰極（いんきょく）に水素、陽極（ようきょく）に酸素が体積比2：1で生じ、2H₂O→2H₂＋O₂。保護眼鏡を着け、液が付いたら直ちに多量の水で洗う。つながり：水素／酸素／体積比</x:v>
      </x:c>
    </x:row>
    <x:row r="416" ht="58" customHeight="1">
      <x:c r="A416" s="104" t="str">
        <x:v>触媒（しょくばい）</x:v>
      </x:c>
      <x:c r="B416" s="18" t="str">
        <x:v>反応の前後で自身はほぼ変化せず、反応速度を変える物質。二酸化（さんか）マンガンは過酸化水素の分解を速めるが、できる酸素の最終総量は増やさない。少量でも働く。つながり：反応速度／二酸化マンガン／過酸化水素</x:v>
      </x:c>
    </x:row>
    <x:row r="417" ht="58" customHeight="1">
      <x:c r="A417" s="104" t="str">
        <x:v>酸化（さんか）</x:v>
      </x:c>
      <x:c r="B417" s="18" t="str">
        <x:v>中学では物質が酸素と結びつく化学変化。激しく光や熱を出す酸化（さんか）が燃焼で、さびのようにゆっくり進む酸化もある。金属が酸化すると酸素分だけ質量が増える。つながり：燃焼／さび／還元（かんげん）</x:v>
      </x:c>
    </x:row>
    <x:row r="418" ht="58" customHeight="1">
      <x:c r="A418" s="104" t="str">
        <x:v>還元（かんげん）</x:v>
      </x:c>
      <x:c r="B418" s="18" t="str">
        <x:v>酸化（さんか）物から酸素が取り除かれる化学変化。酸化銅と炭素を加熱すると、酸化銅は銅へ還元（かんげん）され、炭素は酸化されて二酸化炭素になる。酸化と還元は同時に起こる。つながり：酸化／酸化銅／炭素</x:v>
      </x:c>
    </x:row>
    <x:row r="419" ht="58" customHeight="1">
      <x:c r="A419" s="104" t="str">
        <x:v>酸化（さんか）銅の炭素による還元（かんげん）</x:v>
      </x:c>
      <x:c r="B419" s="18" t="str">
        <x:v>2CuO＋C→2Cu＋CO₂。黒色の酸化（さんか）銅から赤色の銅ができ、気体は石灰水を濁らせる。試験管口を少し下げ、加熱を止める前にガラス管を石灰水から抜いて逆流を防ぐ。つながり：酸化還元（かんげん）／二酸化炭素／石灰水</x:v>
      </x:c>
    </x:row>
    <x:row r="420" ht="58" customHeight="1">
      <x:c r="A420" s="104" t="str">
        <x:v>発熱反応（はつねつはんのう）</x:v>
      </x:c>
      <x:c r="B420" s="18" t="str">
        <x:v>化学変化で周囲へ熱を放出し、周囲の温度が上がる反応。燃焼、鉄の酸化（さんか）、酸とアルカリの中和（ちゅうわ）など。反応物の化学エネルギーの一部が熱へ変わる。つながり：燃焼／中和／化学エネルギー</x:v>
      </x:c>
    </x:row>
    <x:row r="421" ht="58" customHeight="1">
      <x:c r="A421" s="104" t="str">
        <x:v>吸熱反応（きゅうねつはんのう）</x:v>
      </x:c>
      <x:c r="B421" s="18" t="str">
        <x:v>化学変化が周囲から熱を吸収し、周囲の温度が下がる反応。例として塩化アンモニウムと水酸化（さんか）バリウムの反応など。単なる氷の融解（ゆうかい）は吸熱だが化学反応ではなく状態変化。つながり：温度低下／状態変化／化学エネルギー</x:v>
      </x:c>
    </x:row>
    <x:row r="422" ht="58" customHeight="1">
      <x:c r="A422" s="104" t="str">
        <x:v>化学変化と質量保存の法則</x:v>
      </x:c>
      <x:c r="B422" s="18" t="str">
        <x:v>化学変化の前後で、反応に関わる物質全体の質量は変わらない。原子の種類と数が保存され、組み合わせだけが変わるため。気体も含めた閉じた系で測る。つながり：原子数保存／密閉系／化学反応式（かがくはんのうしき）</x:v>
      </x:c>
    </x:row>
    <x:row r="423" ht="58" customHeight="1">
      <x:c r="A423" s="104" t="str">
        <x:v>開放容器で質量が変わる理由</x:v>
      </x:c>
      <x:c r="B423" s="18" t="str">
        <x:v>気体が外へ逃げる反応では容器内の測定質量が減り、空気中の酸素を取り込む反応では増える。容器と出入りした気体まで含めれば全体の質量は保存される。つながり：質量保存／気体／酸化（さんか）</x:v>
      </x:c>
    </x:row>
    <x:row r="424" ht="58" customHeight="1">
      <x:c r="A424" s="104" t="str">
        <x:v>一定の質量比</x:v>
      </x:c>
      <x:c r="B424" s="18" t="str">
        <x:v>同じ化合物をつくる元素の質量比は常に一定。例えば銅と酸素が酸化（さんか）銅になる質量比は約4：1、マグネシウムと酸素は約3：2。反応物の量を増やしても比は変わらない。つながり：定比例／酸化銅／酸化マグネシウム</x:v>
      </x:c>
    </x:row>
    <x:row r="425" ht="58" customHeight="1">
      <x:c r="A425" s="104" t="str">
        <x:v>銅と酸素の質量比</x:v>
      </x:c>
      <x:c r="B425" s="18" t="str">
        <x:v>銅：結びつく酸素：酸化（さんか）銅＝4：1：5。銅8.0 gが完全に反応すれば酸素2.0 gと結びつき酸化銅10.0 gになる。問題中の実験値から比を確定する。つながり：酸化銅／質量保存／比例計算</x:v>
      </x:c>
    </x:row>
    <x:row r="426" ht="58" customHeight="1">
      <x:c r="A426" s="104" t="str">
        <x:v>マグネシウムと酸素の質量比</x:v>
      </x:c>
      <x:c r="B426" s="18" t="str">
        <x:v>マグネシウム：結びつく酸素：酸化（さんか）マグネシウム＝3：2：5。Mg 6.0 gならO 4.0 gと反応しMgO 10.0 g。実験では未反応や散逸でずれることがある。つながり：酸化マグネシウム／質量比／燃焼</x:v>
      </x:c>
    </x:row>
    <x:row r="427" ht="58" customHeight="1">
      <x:c r="A427" s="104" t="str">
        <x:v>不足する反応物と余る反応物</x:v>
      </x:c>
      <x:c r="B427" s="18" t="str">
        <x:v>一定の質量比より一方を多く混ぜても、少ない側を使い切った時点で反応は止まり、もう一方が余る。生成物量は不足する側の量で決まる。つながり：限界反応物／質量比／生成物</x:v>
      </x:c>
    </x:row>
    <x:row r="428" ht="58" customHeight="1">
      <x:c r="A428" s="104" t="str">
        <x:v>反応量グラフの折れ曲がり</x:v>
      </x:c>
      <x:c r="B428" s="18" t="str">
        <x:v>一方の反応物を一定にして他方を増やすと、生成物量は比例して増え、一定点から増えなくなる。折れ曲がりは一定側を使い切るのに必要な量で、それ以降の追加分は余る。つながり：限界反応物／比例／質量比</x:v>
      </x:c>
    </x:row>
    <x:row r="429" ht="58" customHeight="1">
      <x:c r="A429" s="104" t="str">
        <x:v>反応前後の粒子図</x:v>
      </x:c>
      <x:c r="B429" s="18" t="str">
        <x:v>反応前後で各元素の原子の種類と総数を一致させる。原子の結びつきは変えてよいが、原子を新しく作る・消す・別元素へ変えることはできない。余った粒子も図に残す。つながり：原子数保存／化学反応式（かがくはんのうしき）／余剰反応物</x:v>
      </x:c>
    </x:row>
    <x:row r="430" ht="58" customHeight="1">
      <x:c r="A430" s="104" t="str">
        <x:v>周期表（しゅうきひょう）</x:v>
      </x:c>
      <x:c r="B430" s="18" t="str">
        <x:v>元素を原子番号の順に並べ、性質が周期的に似るよう整理した表。同じ縦の列には似た性質の元素が並ぶことが多い。元素記号の暗記表だけではなく、元素間の関係を示す。つながり：原子番号／元素記号／金属</x:v>
      </x:c>
    </x:row>
    <x:row r="431" ht="58" customHeight="1">
      <x:c r="A431" s="104" t="str">
        <x:v>周期表（しゅうきひょう）で見る金属と非金属</x:v>
      </x:c>
      <x:c r="B431" s="18" t="str">
        <x:v>周期表（しゅうきひょう）では金属元素が主に左側・中央、非金属元素が主に右上側にある。水素は左上にあるが非金属。境界付近には両方に近い性質を示す元素もある。つながり：周期表／金属／非金属</x:v>
      </x:c>
    </x:row>
    <x:row r="432" ht="58" customHeight="1">
      <x:c r="A432" s="104" t="str">
        <x:v>鉄と硫黄の反応式</x:v>
      </x:c>
      <x:c r="B432" s="18" t="str">
        <x:v>鉄と硫黄が1：1の粒子数比で化合して硫化（りゅうか）鉄になる。Fe＋S→FeS。混合しただけでは反応式の生成物にならず、加熱して反応を開始させる。つながり：硫化鉄／化合／鉄と硫黄</x:v>
      </x:c>
    </x:row>
    <x:row r="433" ht="58" customHeight="1">
      <x:c r="A433" s="104" t="str">
        <x:v>過酸化（さんか）水素の分解反応式</x:v>
      </x:c>
      <x:c r="B433" s="18" t="str">
        <x:v>2H₂O₂→2H₂O＋O₂。二酸化（さんか）マンガンは反応を速める触媒（しょくばい）で、反応式の反応物・生成物には含めない。発生気体は酸素。つながり：酸素／触媒／二酸化マンガン</x:v>
      </x:c>
    </x:row>
    <x:row r="434" ht="58" customHeight="1">
      <x:c r="A434" s="104" t="str">
        <x:v>炭酸カルシウムと塩酸の反応式</x:v>
      </x:c>
      <x:c r="B434" s="18" t="str">
        <x:v>CaCO₃＋2HCl→CaCl₂＋H₂O＋CO₂。石灰石や貝殻へうすい塩酸を加えて二酸化（さんか）炭素をつくる反応で、係数2を忘れない。つながり：二酸化炭素／石灰石／塩化カルシウム</x:v>
      </x:c>
    </x:row>
    <x:row r="435" ht="58" customHeight="1">
      <x:c r="A435" s="104" t="str">
        <x:v>亜鉛（あえん）と塩酸の反応式</x:v>
      </x:c>
      <x:c r="B435" s="18" t="str">
        <x:v>Zn＋2HCl→ZnCl₂＋H₂。亜鉛（あえん）が塩化亜鉛となり、水素が発生する。原子数を合わせるためHClの係数は2。つながり：水素／亜鉛／酸と金属</x:v>
      </x:c>
    </x:row>
    <x:row r="436" ht="58" customHeight="1">
      <x:c r="A436" s="104" t="str">
        <x:v>水素の元素記号</x:v>
      </x:c>
      <x:c r="B436" s="18" t="str">
        <x:v>H。元素記号は大文字1字で書く。水素分子の化学式はH₂なので、元素記号Hと分子の化学式H₂を区別する。つながり：水素／H₂／原子</x:v>
      </x:c>
    </x:row>
    <x:row r="437" ht="58" customHeight="1">
      <x:c r="A437" s="104" t="str">
        <x:v>炭素の元素記号</x:v>
      </x:c>
      <x:c r="B437" s="18" t="str">
        <x:v>C。炭素原子を表す元素記号で、二酸化（さんか）炭素CO₂や酸化銅から炭素で酸素を奪う反応などに使う。つながり：炭素／CO₂／有機物</x:v>
      </x:c>
    </x:row>
    <x:row r="438" ht="58" customHeight="1">
      <x:c r="A438" s="104" t="str">
        <x:v>窒素の元素記号</x:v>
      </x:c>
      <x:c r="B438" s="18" t="str">
        <x:v>N。窒素分子の化学式はN₂で、空気中に最も多い気体である。元素記号Nと分子N₂を区別する。つながり：窒素／N₂／空気</x:v>
      </x:c>
    </x:row>
    <x:row r="439" ht="58" customHeight="1">
      <x:c r="A439" s="104" t="str">
        <x:v>酸素の元素記号</x:v>
      </x:c>
      <x:c r="B439" s="18" t="str">
        <x:v>O。酸素分子はO₂、オゾンはO₃で、同じ酸素原子からできても分子のつくりが異なる。つながり：酸素／O₂／酸化（さんか）</x:v>
      </x:c>
    </x:row>
    <x:row r="440" ht="58" customHeight="1">
      <x:c r="A440" s="104" t="str">
        <x:v>硫黄の元素記号</x:v>
      </x:c>
      <x:c r="B440" s="18" t="str">
        <x:v>S。鉄Feと硫黄Sが化合すると硫化（りゅうか）鉄FeSになる。日本語名の頭文字ではなく、決められた記号を使う。つながり：硫黄／FeS／硫化</x:v>
      </x:c>
    </x:row>
    <x:row r="441" ht="58" customHeight="1">
      <x:c r="A441" s="104" t="str">
        <x:v>塩素の元素記号</x:v>
      </x:c>
      <x:c r="B441" s="18" t="str">
        <x:v>Cl。Cは炭素なので、塩素は大文字Cと小文字lを続ける。塩素分子はCl₂、塩化物イオンはCl⁻。つながり：塩素／Cl₂／Cl⁻</x:v>
      </x:c>
    </x:row>
    <x:row r="442" ht="58" customHeight="1">
      <x:c r="A442" s="104" t="str">
        <x:v>ナトリウムの元素記号</x:v>
      </x:c>
      <x:c r="B442" s="18" t="str">
        <x:v>Na。英語名の頭文字だけではなく、ラテン語名に由来する。ナトリウムイオンはNa⁺、塩化ナトリウムはNaCl。つながり：ナトリウム／Na⁺／NaCl</x:v>
      </x:c>
    </x:row>
    <x:row r="443" ht="58" customHeight="1">
      <x:c r="A443" s="104" t="str">
        <x:v>マグネシウムの元素記号</x:v>
      </x:c>
      <x:c r="B443" s="18" t="str">
        <x:v>Mg。最初のMだけを大文字、gを小文字で書く。酸素と反応すると酸化（さんか）マグネシウムMgOになる。つながり：マグネシウム／MgO／燃焼</x:v>
      </x:c>
    </x:row>
    <x:row r="444" ht="58" customHeight="1">
      <x:c r="A444" s="104" t="str">
        <x:v>アルミニウムの元素記号</x:v>
      </x:c>
      <x:c r="B444" s="18" t="str">
        <x:v>Al。Aを大文字、lを小文字で書く。Clの塩素と同様、小文字のlを数字1と取り違えない。つながり：アルミニウム／金属／元素</x:v>
      </x:c>
    </x:row>
    <x:row r="445" ht="58" customHeight="1">
      <x:c r="A445" s="104" t="str">
        <x:v>カリウムの元素記号</x:v>
      </x:c>
      <x:c r="B445" s="18" t="str">
        <x:v>K。日本語名の頭文字とは一致しない記号の一つ。カリウムイオンは電子を1個失ったK⁺である。つながり：カリウム／K⁺／陽イオン（よういおん）</x:v>
      </x:c>
    </x:row>
    <x:row r="446" ht="58" customHeight="1">
      <x:c r="A446" s="104" t="str">
        <x:v>カルシウムの元素記号</x:v>
      </x:c>
      <x:c r="B446" s="18" t="str">
        <x:v>Ca。Cだけなら炭素なので、小文字aまで書く。カルシウムイオンはCa²⁺である。つながり：カルシウム／Ca²⁺／石灰石</x:v>
      </x:c>
    </x:row>
    <x:row r="447" ht="58" customHeight="1">
      <x:c r="A447" s="104" t="str">
        <x:v>鉄の元素記号</x:v>
      </x:c>
      <x:c r="B447" s="18" t="str">
        <x:v>Fe。日本語名の頭文字とは一致せず、ラテン語名に由来する。鉄と硫黄の反応はFe＋S→FeS。つながり：鉄／FeS／金属</x:v>
      </x:c>
    </x:row>
    <x:row r="448" ht="58" customHeight="1">
      <x:c r="A448" s="104" t="str">
        <x:v>銅の元素記号</x:v>
      </x:c>
      <x:c r="B448" s="18" t="str">
        <x:v>Cu。ラテン語名に由来する。銅原子Cuと銅イオンCu²⁺は電荷の有無が異なる。つながり：銅／Cu²⁺／酸化（さんか）銅</x:v>
      </x:c>
    </x:row>
    <x:row r="449" ht="58" customHeight="1">
      <x:c r="A449" s="104" t="str">
        <x:v>亜鉛（あえん）の元素記号</x:v>
      </x:c>
      <x:c r="B449" s="18" t="str">
        <x:v>Zn。亜鉛（あえん）と塩酸の反応はZn＋2HCl→ZnCl₂＋H₂。亜鉛イオンはZn²⁺である。つながり：亜鉛／Zn²⁺／水素</x:v>
      </x:c>
    </x:row>
    <x:row r="450" ht="58" customHeight="1">
      <x:c r="A450" s="104" t="str">
        <x:v>銀の元素記号</x:v>
      </x:c>
      <x:c r="B450" s="18" t="str">
        <x:v>Ag。日本語名の頭文字とは一致せず、ラテン語名に由来する。銀イオンはAg⁺である。つながり：銀／Ag⁺／金属</x:v>
      </x:c>
    </x:row>
    <x:row r="451" ht="58" customHeight="1">
      <x:c r="A451" s="104" t="str">
        <x:v>バリウムの元素記号</x:v>
      </x:c>
      <x:c r="B451" s="18" t="str">
        <x:v>Ba。Bを大文字、aを小文字で書く。バリウムイオンBa²⁺は硫酸イオンSO₄²⁻と硫酸バリウムの白色沈殿（ちんでん）をつくる。つながり：バリウム／Ba²⁺／白色沈殿</x:v>
      </x:c>
    </x:row>
    <x:row r="452" ht="58" customHeight="1">
      <x:c r="A452" s="104" t="str">
        <x:v>感覚と反応</x:v>
      </x:c>
      <x:c r="B452" s="18" t="str">
        <x:v>目・耳・鼻・舌・皮膚などの感覚器官が刺激を受け、神経が情報を脳などへ伝える。脳が判断し、運動神経を通じて筋肉などが反応する。つながり：感覚器官／神経／脳／筋肉</x:v>
      </x:c>
    </x:row>
    <x:row r="453" ht="58" customHeight="1">
      <x:c r="A453" s="104" t="str">
        <x:v>細胞</x:v>
      </x:c>
      <x:c r="B453" s="18" t="str">
        <x:v>生物の体をつくる基本単位。1個の細胞で生活する単細胞生物も、多数の細胞からなる多細胞生物もいる。細胞は成長・呼吸など生命活動の場でもある。つながり：単細胞生物／多細胞生物／核／細胞質</x:v>
      </x:c>
    </x:row>
    <x:row r="454" ht="58" customHeight="1">
      <x:c r="A454" s="104" t="str">
        <x:v>植物細胞と動物細胞の共通部分</x:v>
      </x:c>
      <x:c r="B454" s="18" t="str">
        <x:v>どちらにも核・細胞質・細胞膜がある。核には遺伝（いでん）情報があり、細胞膜は物質の出入りを調節する。植物細胞だけの構造と混同しない。つながり：核／細胞質／細胞膜／遺伝子</x:v>
      </x:c>
    </x:row>
    <x:row r="455" ht="58" customHeight="1">
      <x:c r="A455" s="104" t="str">
        <x:v>植物細胞に特徴的な構造</x:v>
      </x:c>
      <x:c r="B455" s="18" t="str">
        <x:v>細胞壁・葉緑体・発達した液胞が目立つ。細胞壁は形を支え、葉緑体は光合成を行い、液胞には細胞液が入る。根など光合成しない植物細胞には葉緑体がない場合もある。つながり：細胞壁／葉緑体／液胞／植物細胞</x:v>
      </x:c>
    </x:row>
    <x:row r="456" ht="58" customHeight="1">
      <x:c r="A456" s="104" t="str">
        <x:v>核（細胞）</x:v>
      </x:c>
      <x:c r="B456" s="18" t="str">
        <x:v>細胞内にあり、染色体を通して遺伝（いでん）情報をもつ構造。酢酸カーミン液や酢酸オルセイン液などで染まりやすい。成熟したヒトの赤血球のように核を失う細胞もある。つながり：染色体／DNA／遺伝子／細胞分裂</x:v>
      </x:c>
    </x:row>
    <x:row r="457" ht="58" customHeight="1">
      <x:c r="A457" s="104" t="str">
        <x:v>細胞膜と細胞壁の違い</x:v>
      </x:c>
      <x:c r="B457" s="18" t="str">
        <x:v>細胞膜は動植物細胞の両方にあり、細胞の内外を仕切って物質の出入りを調節する。細胞壁は植物細胞などで細胞膜の外側にあり、丈夫で形を支える。つながり：細胞膜／細胞壁／植物細胞／動物細胞</x:v>
      </x:c>
    </x:row>
    <x:row r="458" ht="58" customHeight="1">
      <x:c r="A458" s="104" t="str">
        <x:v>葉緑体</x:v>
      </x:c>
      <x:c r="B458" s="18" t="str">
        <x:v>植物の緑色の部分の細胞に多く、葉緑素を含んで光合成を行う。すべての植物細胞にあるわけではなく、タマネギの鱗片葉や根の細胞には通常見られない。つながり：光合成／葉緑素／植物細胞／デンプン</x:v>
      </x:c>
    </x:row>
    <x:row r="459" ht="58" customHeight="1">
      <x:c r="A459" s="104" t="str">
        <x:v>液胞</x:v>
      </x:c>
      <x:c r="B459" s="18" t="str">
        <x:v>細胞液を含む袋状の構造。成熟した植物細胞では大きく発達し、水や色素・不要物などを蓄え、細胞の張りにも関わる。動物細胞では目立つ大きな液胞はない。つながり：細胞液／植物細胞／細胞質／浸透</x:v>
      </x:c>
    </x:row>
    <x:row r="460" ht="58" customHeight="1">
      <x:c r="A460" s="104" t="str">
        <x:v>単細胞生物と多細胞生物</x:v>
      </x:c>
      <x:c r="B460" s="18" t="str">
        <x:v>単細胞生物は1個の細胞で生命活動をすべて行う。多細胞生物では細胞が分業し、同じ形・はたらきの細胞が組織、組織が器官、器官が個体をつくる。つながり：組織／器官／個体／細胞</x:v>
      </x:c>
    </x:row>
    <x:row r="461" ht="58" customHeight="1">
      <x:c r="A461" s="104" t="str">
        <x:v>細胞を染色する理由</x:v>
      </x:c>
      <x:c r="B461" s="18" t="str">
        <x:v>核など透明で見えにくい構造に色をつけ、輪郭や分裂中の染色体を見やすくするため。タマネギの細胞などには酢酸オルセイン液や酢酸カーミン液を用いる。つながり：核／染色体／酢酸オルセイン液／顕微鏡（けんびきょう）</x:v>
      </x:c>
    </x:row>
    <x:row r="462" ht="58" customHeight="1">
      <x:c r="A462" s="104" t="str">
        <x:v>根毛</x:v>
      </x:c>
      <x:c r="B462" s="18" t="str">
        <x:v>根の先端近くの表皮細胞が細長く伸びたもの。土粒のすき間に入り、根の表面積を大きくして水と無機養分を吸収しやすくする。細い根そのものとは区別する。つながり：根／吸水／表面積／無機養分</x:v>
      </x:c>
    </x:row>
    <x:row r="463" ht="58" customHeight="1">
      <x:c r="A463" s="104" t="str">
        <x:v>道管（どうかん）</x:v>
      </x:c>
      <x:c r="B463" s="18" t="str">
        <x:v>根から吸収した水と無機養分を主に上向きに運ぶ管。茎の維管束（いかんそく）内では、双子葉類（そうしようるい）なら一般に内側、葉では葉脈に含まれる。古い細胞が管状につながっている。つながり：師管（しかん）／維管束／蒸散（じょうさん）／吸水</x:v>
      </x:c>
    </x:row>
    <x:row r="464" ht="58" customHeight="1">
      <x:c r="A464" s="104" t="str">
        <x:v>師管（しかん）</x:v>
      </x:c>
      <x:c r="B464" s="18" t="str">
        <x:v>葉でつくられた糖などの有機物を、成長部や根・果実など必要な場所へ運ぶ管。運ばれる向きは必要部位により変わり、常に下向きとは限らない。つながり：道管（どうかん）／維管束（いかんそく）／光合成／転流</x:v>
      </x:c>
    </x:row>
    <x:row r="465" ht="58" customHeight="1">
      <x:c r="A465" s="104" t="str">
        <x:v>維管束（いかんそく）</x:v>
      </x:c>
      <x:c r="B465" s="18" t="str">
        <x:v>道管（どうかん）と師管（しかん）がまとまった束。双子葉類（そうしようるい）の茎では輪状、単子葉類（たんしようるい）の茎では散らばって並ぶ。根・茎・葉を連続してつなぎ、水や養分を運ぶ。つながり：道管／師管／双子葉類／単子葉類</x:v>
      </x:c>
    </x:row>
    <x:row r="466" ht="58" customHeight="1">
      <x:c r="A466" s="104" t="str">
        <x:v>茎の維管束（いかんそく）の並び方</x:v>
      </x:c>
      <x:c r="B466" s="18" t="str">
        <x:v>双子葉類（そうしようるい）では維管束（いかんそく）が輪状に並び、各束の内側が道管（どうかん）、外側が師管（しかん）。単子葉類（たんしようるい）では維管束が全体に散らばる。断面図では根や葉との向きを混同しない。つながり：維管束／道管／師管／茎の断面</x:v>
      </x:c>
    </x:row>
    <x:row r="467" ht="58" customHeight="1">
      <x:c r="A467" s="104" t="str">
        <x:v>葉の断面</x:v>
      </x:c>
      <x:c r="B467" s="18" t="str">
        <x:v>表側と裏側を表皮が覆い、内部の葉肉細胞に葉緑体が多い。葉脈には道管（どうかん）と師管（しかん）が通り、表皮、とくに裏側には気孔（きこう）が多い植物が一般的。つながり：表皮／葉肉／葉脈／気孔</x:v>
      </x:c>
    </x:row>
    <x:row r="468" ht="58" customHeight="1">
      <x:c r="A468" s="104" t="str">
        <x:v>気孔（きこう）と孔辺細胞（こうへんさいぼう）</x:v>
      </x:c>
      <x:c r="B468" s="18" t="str">
        <x:v>気孔（きこう）は2個の孔辺細胞に囲まれたすき間で、二酸化（さんか）炭素・酸素・水蒸気が出入りする。孔辺細胞の開閉によって蒸散（じょうさん）と気体交換が調節される。つながり：孔辺細胞／蒸散／気体交換／二酸化炭素</x:v>
      </x:c>
    </x:row>
    <x:row r="469" ht="58" customHeight="1">
      <x:c r="A469" s="104" t="str">
        <x:v>光合成の物質の出入り</x:v>
      </x:c>
      <x:c r="B469" s="18" t="str">
        <x:v>二酸化（さんか）炭素＋水→有機物（デンプンなど）＋酸素、という向きで捉える。光エネルギーを化学エネルギーとして有機物に蓄える反応で、葉緑体で行われる。つながり：二酸化炭素／水／酸素／有機物</x:v>
      </x:c>
    </x:row>
    <x:row r="470" ht="58" customHeight="1">
      <x:c r="A470" s="104" t="str">
        <x:v>植物の呼吸</x:v>
      </x:c>
      <x:c r="B470" s="18" t="str">
        <x:v>植物も昼夜を通して、細胞で有機物と酸素を使い、二酸化（さんか）炭素と水を生じながらエネルギーを取り出す。昼は光合成量が呼吸量を上回りやすく、見かけ上は二酸化炭素を吸収する。つながり：細胞呼吸／光合成／酸素／二酸化炭素</x:v>
      </x:c>
    </x:row>
    <x:row r="471" ht="58" customHeight="1">
      <x:c r="A471" s="104" t="str">
        <x:v>光合成量・呼吸量・見かけの光合成量</x:v>
      </x:c>
      <x:c r="B471" s="18" t="str">
        <x:v>見かけの光合成量＝真の光合成量－呼吸量。したがって、真の光合成量＝見かけの光合成量＋呼吸量。明所で放出された酸素だけを真の光合成量としない。つながり：光合成／呼吸／酸素／補償点</x:v>
      </x:c>
    </x:row>
    <x:row r="472" ht="58" customHeight="1">
      <x:c r="A472" s="104" t="str">
        <x:v>BTB溶液で光合成を調べる</x:v>
      </x:c>
      <x:c r="B472" s="18" t="str">
        <x:v>BTB溶液は二酸化（さんか）炭素が多く酸性寄りだと黄色、中性付近で緑、少ないと青になる。水草を明所に置いて青方向なら光合成で二酸化炭素が減ったと判断する。色は酸素量を直接示さない。つながり：BTB溶液／二酸化炭素／水草／光合成</x:v>
      </x:c>
    </x:row>
    <x:row r="473" ht="58" customHeight="1">
      <x:c r="A473" s="104" t="str">
        <x:v>水草の気泡実験の注意</x:v>
      </x:c>
      <x:c r="B473" s="18" t="str">
        <x:v>明所の水草から出る気泡は主に光合成で生じた酸素。光の強さ・温度・二酸化（さんか）炭素濃度などを一つだけ変え、一定時間の気泡数や集めた気体量を比べる。気泡の大きさが違う点にも注意する。つながり：酸素／光の強さ／対照実験（たいしょうじっけん）／二酸化炭素</x:v>
      </x:c>
    </x:row>
    <x:row r="474" ht="58" customHeight="1">
      <x:c r="A474" s="104" t="str">
        <x:v>石灰水と二酸化（さんか）炭素</x:v>
      </x:c>
      <x:c r="B474" s="18" t="str">
        <x:v>石灰水に二酸化（さんか）炭素を通すと炭酸カルシウムが生じて白く濁る。発芽種子や動物の呼吸で二酸化炭素が出ることを確かめられる。長時間過剰に通すと濁りが消えることがある。つながり：石灰水／呼吸／二酸化炭素／炭酸カルシウム</x:v>
      </x:c>
    </x:row>
    <x:row r="475" ht="58" customHeight="1">
      <x:c r="A475" s="104" t="str">
        <x:v>蒸散（じょうさん）量を比べるワセリン実験</x:v>
      </x:c>
      <x:c r="B475" s="18" t="str">
        <x:v>葉の表・裏にワセリンを塗って気孔（きこう）をふさぎ、水の減少量を比べる。『葉なし』の減少量を茎などからの蒸発分として差し引く。多くの陸上植物では裏面の気孔が多く、裏をふさぐ影響が大きい。つながり：気孔／ワセリン／対照実験（たいしょうじっけん）／水の減少量</x:v>
      </x:c>
    </x:row>
    <x:row r="476" ht="58" customHeight="1">
      <x:c r="A476" s="104" t="str">
        <x:v>葉の表裏からの蒸散（じょうさん）量の計算</x:v>
      </x:c>
      <x:c r="B476" s="18" t="str">
        <x:v>同じ葉面積・時間で水面からの蒸発を防ぎ、茎などからの基準損失をS、葉の表をA、裏をBとする。無処理はS+A+B、表を封鎖するとS+B、裏を封鎖するとS+A、両面封鎖はほぼS。したがってA=無処理−表封鎖、B=無処理−裏封鎖として求める。つながり：蒸散（じょうさん）／ワセリン／差し引き／気孔（きこう）</x:v>
      </x:c>
    </x:row>
    <x:row r="477" ht="58" customHeight="1">
      <x:c r="A477" s="104" t="str">
        <x:v>赤い水を吸わせる実験</x:v>
      </x:c>
      <x:c r="B477" s="18" t="str">
        <x:v>ホウセンカなどに色水を吸わせて断面を見ると、根・茎・葉の道管（どうかん）が染まる。水の通り道が道管である証拠。師管（しかん）が染まる実験ではない。つながり：道管／維管束（いかんそく）／吸水／蒸散（じょうさん）</x:v>
      </x:c>
    </x:row>
    <x:row r="478" ht="58" customHeight="1">
      <x:c r="A478" s="104" t="str">
        <x:v>蒸散（じょうさん）で水が上がる仕組み</x:v>
      </x:c>
      <x:c r="B478" s="18" t="str">
        <x:v>葉から水が失われると道管（どうかん）内の水が引かれ、連続した水柱を通じて根からの吸水が促される。根圧なども関わるが、背の高い植物では蒸散（じょうさん）による引き上げが重要。つながり：蒸散／道管／根毛／水柱</x:v>
      </x:c>
    </x:row>
    <x:row r="479" ht="58" customHeight="1">
      <x:c r="A479" s="104" t="str">
        <x:v>植物の屈性（くっせい）</x:v>
      </x:c>
      <x:c r="B479" s="18" t="str">
        <x:v>刺激の方向に関係して成長方向が変わる反応。茎は光の方向へ曲がる正の光屈性、根は重力方向へ伸びる正の重力屈性を示す。動物の素早い運動とは異なり、主に成長差で起こる。つながり：光屈性／重力屈性／成長／刺激</x:v>
      </x:c>
    </x:row>
    <x:row r="480" ht="58" customHeight="1">
      <x:c r="A480" s="104" t="str">
        <x:v>細胞・組織・器官・器官系</x:v>
      </x:c>
      <x:c r="B480" s="18" t="str">
        <x:v>同じ形やはたらきの細胞が集まって組織、複数の組織が組み合わさって器官、関連する器官が器官系をつくる。例は筋細胞→筋組織→胃→消化器系。階層の大小を逆にしない。つながり：細胞／組織／器官／器官系</x:v>
      </x:c>
    </x:row>
    <x:row r="481" ht="58" customHeight="1">
      <x:c r="A481" s="104" t="str">
        <x:v>三大栄養素</x:v>
      </x:c>
      <x:c r="B481" s="18" t="str">
        <x:v>炭水化物・タンパク質・脂肪。消化後、炭水化物は主にブドウ糖、タンパク質はアミノ酸、脂肪は脂肪酸とモノグリセリドなどとして吸収される。ビタミン・無機物・水は基本的に消化せず吸収できる。つながり：ブドウ糖／アミノ酸／脂肪酸／消化</x:v>
      </x:c>
    </x:row>
    <x:row r="482" ht="58" customHeight="1">
      <x:c r="A482" s="104" t="str">
        <x:v>消化管の順序</x:v>
      </x:c>
      <x:c r="B482" s="18" t="str">
        <x:v>口→食道→胃→小腸→大腸→肛門と続く一本の管。肝臓・膵臓（すいぞう）・だ液腺は消化液をつくるが、食物がその内部を通る消化管ではない。つながり：口／胃／小腸／大腸</x:v>
      </x:c>
    </x:row>
    <x:row r="483" ht="58" customHeight="1">
      <x:c r="A483" s="104" t="str">
        <x:v>消化酵素（しょうかこうそ）</x:v>
      </x:c>
      <x:c r="B483" s="18" t="str">
        <x:v>消化液に含まれ、特定の栄養素を体温程度の温度で分解する物質。自身は反応の前後でほとんど変化せず、少量ではたらく。酵素ごとにはたらく相手が決まっている。つながり：アミラーゼ／ペプシン／リパーゼ／消化液</x:v>
      </x:c>
    </x:row>
    <x:row r="484" ht="58" customHeight="1">
      <x:c r="A484" s="104" t="str">
        <x:v>だ液のはたらき</x:v>
      </x:c>
      <x:c r="B484" s="18" t="str">
        <x:v>だ液中のアミラーゼがデンプンを麦芽糖などへ分解する。デンプンの消失はヨウ素液、糖の生成はベネジクト液を加え、試験管の口を人へ向けず熱湯浴で加熱して赤褐色の沈殿（ちんでん）ができるかで調べる。つながり：アミラーゼ／デンプン／ヨウ素液／ベネジクト液</x:v>
      </x:c>
    </x:row>
    <x:row r="485" ht="58" customHeight="1">
      <x:c r="A485" s="104" t="str">
        <x:v>だ液の実験で温度をそろえる理由</x:v>
      </x:c>
      <x:c r="B485" s="18" t="str">
        <x:v>酵素のはたらきは温度に左右されるため、だ液あり・なし以外を同じ条件にする。体温に近い約40℃の湯で一定時間保ち、水だけの試験管を対照にする。沸騰させると酵素が変性する。つながり：対照実験（たいしょうじっけん）／アミラーゼ／温度／変性</x:v>
      </x:c>
    </x:row>
    <x:row r="486" ht="58" customHeight="1">
      <x:c r="A486" s="104" t="str">
        <x:v>胃液のはたらき</x:v>
      </x:c>
      <x:c r="B486" s="18" t="str">
        <x:v>胃液には塩酸とペプシンが含まれ、強い酸性の環境でタンパク質の消化を進める。胃壁は粘液で守られる。胃で全栄養素の消化が完了するわけではない。つながり：ペプシン／タンパク質／塩酸／胃</x:v>
      </x:c>
    </x:row>
    <x:row r="487" ht="58" customHeight="1">
      <x:c r="A487" s="104" t="str">
        <x:v>胆汁（たんじゅう）のはたらき</x:v>
      </x:c>
      <x:c r="B487" s="18" t="str">
        <x:v>肝臓でつくられ胆のうに蓄えられ、小腸へ出る。脂肪を細かい粒にして水と混ざりやすくし、リパーゼの作用を助けるが、胆汁自体には消化酵素（しょうかこうそ）を含まない。つながり：肝臓／胆のう／脂肪／リパーゼ</x:v>
      </x:c>
    </x:row>
    <x:row r="488" ht="58" customHeight="1">
      <x:c r="A488" s="104" t="str">
        <x:v>膵液（すいえき）のはたらき</x:v>
      </x:c>
      <x:c r="B488" s="18" t="str">
        <x:v>膵臓でつくられ小腸へ出る。炭水化物・タンパク質・脂肪を分解する複数の消化酵素（しょうかこうそ）を含む。1種類の酵素がすべてを分解するわけではない。つながり：膵臓／アミラーゼ／トリプシン／リパーゼ</x:v>
      </x:c>
    </x:row>
    <x:row r="489" ht="58" customHeight="1">
      <x:c r="A489" s="104" t="str">
        <x:v>小腸での消化と吸収</x:v>
      </x:c>
      <x:c r="B489" s="18" t="str">
        <x:v>すい液・胆汁・腸液などで消化が仕上がり、絨毛から養分が吸収される。ブドウ糖とアミノ酸は主に毛細血管へ、脂肪の分解産物は吸収後に再合成され主にリンパ管へ入る。つながり：絨毛／毛細血管／リンパ管／吸収</x:v>
      </x:c>
    </x:row>
    <x:row r="490" ht="58" customHeight="1">
      <x:c r="A490" s="104" t="str">
        <x:v>絨毛（じゅうもう）</x:v>
      </x:c>
      <x:c r="B490" s="18" t="str">
        <x:v>小腸内壁に多数ある突起。表面積を非常に大きくし、内部の毛細血管やリンパ管へ効率よく養分を吸収する。『消化する突起』ではなく、主な役割は吸収である。つながり：小腸／表面積／毛細血管／リンパ管</x:v>
      </x:c>
    </x:row>
    <x:row r="491" ht="58" customHeight="1">
      <x:c r="A491" s="104" t="str">
        <x:v>大腸の主なはたらき</x:v>
      </x:c>
      <x:c r="B491" s="18" t="str">
        <x:v>消化されなかった内容物から水や一部の無機物を吸収し、便を形成する。養分吸収の中心は小腸であり、大腸ではない。腸内細菌も生息する。つながり：水分吸収／小腸／便／腸内細菌</x:v>
      </x:c>
    </x:row>
    <x:row r="492" ht="58" customHeight="1">
      <x:c r="A492" s="104" t="str">
        <x:v>肝臓の主なはたらき</x:v>
      </x:c>
      <x:c r="B492" s="18" t="str">
        <x:v>胆汁をつくる、吸収したブドウ糖をグリコーゲンとして蓄える、有害物質を分解する、アンモニアを尿素（にょうそ）に変えるなど。消化液が直接通る消化管ではない。つながり：胆汁／グリコーゲン／尿素／解毒</x:v>
      </x:c>
    </x:row>
    <x:row r="493" ht="58" customHeight="1">
      <x:c r="A493" s="104" t="str">
        <x:v>肺胞（はいほう）</x:v>
      </x:c>
      <x:c r="B493" s="18" t="str">
        <x:v>肺の中に多数ある小さな袋。壁が薄く周囲を毛細血管が囲み、総表面積が大きいため、酸素と二酸化（さんか）炭素を効率よく拡散で交換できる。つながり：肺／毛細血管／気体交換／拡散</x:v>
      </x:c>
    </x:row>
    <x:row r="494" ht="58" customHeight="1">
      <x:c r="A494" s="104" t="str">
        <x:v>肺での気体交換</x:v>
      </x:c>
      <x:c r="B494" s="18" t="str">
        <x:v>肺胞（はいほう）内の酸素が血液へ、血液中の二酸化（さんか）炭素が肺胞へ、濃度差に従って移動する。酸素は主に赤血球のヘモグロビンと結びついて運ばれる。つながり：肺胞／酸素／二酸化炭素／ヘモグロビン</x:v>
      </x:c>
    </x:row>
    <x:row r="495" ht="58" customHeight="1">
      <x:c r="A495" s="104" t="str">
        <x:v>横隔膜（おうかくまく）と呼吸運動</x:v>
      </x:c>
      <x:c r="B495" s="18" t="str">
        <x:v>息を吸うと横隔膜（おうかくまく）が縮んで下がり、肋骨が上がって胸腔（きょうくう）が広がり、肺がふくらむ。吐くと逆。肺自体に空気を吸い込む筋肉があるわけではない。つながり：横隔膜／胸腔／肺／肋骨</x:v>
      </x:c>
    </x:row>
    <x:row r="496" ht="58" customHeight="1">
      <x:c r="A496" s="104" t="str">
        <x:v>細胞呼吸</x:v>
      </x:c>
      <x:c r="B496" s="18" t="str">
        <x:v>細胞が酸素を使って有機物を分解し、生命活動に使えるエネルギーを取り出す反応。二酸化（さんか）炭素と水が生じる。肺で空気を出し入れする呼吸運動とは区別する。つながり：酸素／有機物／エネルギー／二酸化炭素</x:v>
      </x:c>
    </x:row>
    <x:row r="497" ht="58" customHeight="1">
      <x:c r="A497" s="104" t="str">
        <x:v>心臓の4つの部屋</x:v>
      </x:c>
      <x:c r="B497" s="18" t="str">
        <x:v>右心房・右心室・左心房・左心室。心房は静脈から血液を受け、心室は動脈へ送り出す。全身へ高い圧力で送る左心室の壁が最も厚い。つながり：右心房／右心室／左心房／左心室</x:v>
      </x:c>
    </x:row>
    <x:row r="498" ht="58" customHeight="1">
      <x:c r="A498" s="104" t="str">
        <x:v>心臓を通る血液の順序</x:v>
      </x:c>
      <x:c r="B498" s="18" t="str">
        <x:v>全身→大静脈→右心房→右心室→肺動脈→肺→肺静脈→左心房→左心室→大動脈→全身。心臓の図は左右が観察者と逆に描かれることが多い。つながり：大静脈／肺動脈／肺静脈／大動脈</x:v>
      </x:c>
    </x:row>
    <x:row r="499" ht="58" customHeight="1">
      <x:c r="A499" s="104" t="str">
        <x:v>体循環と肺循環</x:v>
      </x:c>
      <x:c r="B499" s="18" t="str">
        <x:v>体循環は左心室→大動脈→全身→大静脈→右心房。肺循環は右心室→肺動脈→肺→肺静脈→左心房。1回の全身循環で心臓を2回通る。つながり：体循環／肺循環／左心室／右心室</x:v>
      </x:c>
    </x:row>
    <x:row r="500" ht="58" customHeight="1">
      <x:c r="A500" s="104" t="str">
        <x:v>動脈と静脈</x:v>
      </x:c>
      <x:c r="B500" s="18" t="str">
        <x:v>動脈は心臓から出る血管で壁が厚く弾力があり、静脈は心臓へ戻る血管で壁が比較的薄い。特に四肢の静脈には逆流を防ぐ弁が多いが、すべての静脈にあるわけではない。肺動脈は静脈血、肺静脈は動脈血を運ぶため、酸素量で命名しない。つながり：動脈／静脈／肺動脈／肺静脈</x:v>
      </x:c>
    </x:row>
    <x:row r="501" ht="58" customHeight="1">
      <x:c r="A501" s="104" t="str">
        <x:v>毛細血管</x:v>
      </x:c>
      <x:c r="B501" s="18" t="str">
        <x:v>動脈と静脈をつなぐ非常に細い血管。壁が薄く、血液と組織細胞の間で酸素・二酸化（さんか）炭素・養分・不要物などを交換する。つながり：動脈／静脈／組織液／物質交換</x:v>
      </x:c>
    </x:row>
    <x:row r="502" ht="58" customHeight="1">
      <x:c r="A502" s="104" t="str">
        <x:v>赤血球とヘモグロビン</x:v>
      </x:c>
      <x:c r="B502" s="18" t="str">
        <x:v>赤血球はヘモグロビンを含み、主に酸素を運ぶ。ヘモグロビンは酸素の多い肺で結びつき、少ない組織で放す性質がある。成熟したヒトの赤血球には核がない。つながり：ヘモグロビン／酸素／肺胞（はいほう）／毛細血管</x:v>
      </x:c>
    </x:row>
    <x:row r="503" ht="58" customHeight="1">
      <x:c r="A503" s="104" t="str">
        <x:v>白血球</x:v>
      </x:c>
      <x:c r="B503" s="18" t="str">
        <x:v>体内に侵入した細菌などを取り込んだり、免疫反応に関わったりして体を守る。核をもち、赤血球より数は少ない。酸素運搬（うんぱん）が主な役割ではない。つながり：免疫／病原体／抗体／血液</x:v>
      </x:c>
    </x:row>
    <x:row r="504" ht="58" customHeight="1">
      <x:c r="A504" s="104" t="str">
        <x:v>血小板</x:v>
      </x:c>
      <x:c r="B504" s="18" t="str">
        <x:v>血管が傷ついたときに集まり、血液凝固（ぎょうこ）を進めて出血を止める。細胞の破片で、酸素運搬（うんぱん）や病原体の排除が主な役割ではない。つながり：血液凝固／出血／血管／血しょう</x:v>
      </x:c>
    </x:row>
    <x:row r="505" ht="58" customHeight="1">
      <x:c r="A505" s="104" t="str">
        <x:v>血しょうと組織液</x:v>
      </x:c>
      <x:c r="B505" s="18" t="str">
        <x:v>血しょうは血液の液体成分で、養分・二酸化（さんか）炭素・不要物などを運ぶ。一部が毛細血管からしみ出して組織液となり、細胞との物質交換を仲立ちして多くは血管へ戻る。つながり：毛細血管／組織液／リンパ液／物質交換</x:v>
      </x:c>
    </x:row>
    <x:row r="506" ht="58" customHeight="1">
      <x:c r="A506" s="104" t="str">
        <x:v>細胞由来の不要物と便の違い</x:v>
      </x:c>
      <x:c r="B506" s="18" t="str">
        <x:v>二酸化（さんか）炭素や尿素（にょうそ）は細胞の活動で生じた不要物で、肺・腎臓（じんぞう）・皮膚などから体外へ排出される。一方、便の主成分は消化・吸収されなかった食物などで、細胞で生じた不要物ではない。日常語ではどちらにも『排泄』を使うことがある。つながり：尿素／腎臓／肺／便</x:v>
      </x:c>
    </x:row>
    <x:row r="507" ht="58" customHeight="1">
      <x:c r="A507" s="104" t="str">
        <x:v>腎臓（じんぞう）のはたらき</x:v>
      </x:c>
      <x:c r="B507" s="18" t="str">
        <x:v>血液をろ過し、尿素（にょうそ）・余分な水・塩類などを尿として取り除き、体内環境を調節する。必要な物質の多くは再吸収される。尿は腎臓（じんぞう）→輸尿管→膀胱→尿道と流れる。つながり：尿素／尿／輸尿管／膀胱</x:v>
      </x:c>
    </x:row>
    <x:row r="508" ht="58" customHeight="1">
      <x:c r="A508" s="104" t="str">
        <x:v>尿素（にょうそ）ができるまで</x:v>
      </x:c>
      <x:c r="B508" s="18" t="str">
        <x:v>タンパク質が分解されると有害なアンモニアが生じ、肝臓で毒性の低い尿素（にょうそ）に変えられる。尿素は血液で腎臓（じんぞう）へ運ばれ、尿として排出される。つながり：タンパク質／アンモニア／肝臓／腎臓</x:v>
      </x:c>
    </x:row>
    <x:row r="509" ht="58" customHeight="1">
      <x:c r="A509" s="104" t="str">
        <x:v>中枢神経（ちゅうすうしんけい）と末梢神経（まっしょうしんけい）</x:v>
      </x:c>
      <x:c r="B509" s="18" t="str">
        <x:v>中枢神経は脳と脊髄で、情報を整理し命令を出す。末梢神経は中枢と全身を結び、感覚神経と運動神経を含む。刺激から反応までの経路を方向付きで捉える。つながり：脳／脊髄／感覚神経／運動神経</x:v>
      </x:c>
    </x:row>
    <x:row r="510" ht="58" customHeight="1">
      <x:c r="A510" s="104" t="str">
        <x:v>刺激から意識的な反応まで</x:v>
      </x:c>
      <x:c r="B510" s="18" t="str">
        <x:v>受容器→感覚神経→脳などの中枢神経→運動神経→筋肉などの効果器、の順に信号が伝わる。感覚神経と運動神経の向きを逆にしない。つながり：受容器／感覚神経／中枢神経／効果器</x:v>
      </x:c>
    </x:row>
    <x:row r="511" ht="58" customHeight="1">
      <x:c r="A511" s="104" t="str">
        <x:v>反射（はんしゃ）運動</x:v>
      </x:c>
      <x:c r="B511" s="18" t="str">
        <x:v>刺激に対して意識的な判断より先に起こる、決まった素早い反応。熱い物から手を引く場合、主に脊髄で命令が返され、その後に信号が脳へ届いて熱さを感じる。つながり：脊髄／反射（はんしゃ）弓／感覚神経／運動神経</x:v>
      </x:c>
    </x:row>
    <x:row r="512" ht="58" customHeight="1">
      <x:c r="A512" s="104" t="str">
        <x:v>反射（はんしゃ）の利点</x:v>
      </x:c>
      <x:c r="B512" s="18" t="str">
        <x:v>脳で意識的に判断してから動くより短い経路で反応し、危険から体を守れる。また姿勢や内臓の調節にも反射（はんしゃ）が関わる。反射でも情報が脳に届かないわけではない。つながり：反射／脊髄／危険回避／中枢神経</x:v>
      </x:c>
    </x:row>
    <x:row r="513" ht="58" customHeight="1">
      <x:c r="A513" s="104" t="str">
        <x:v>目のつくりとピント調節</x:v>
      </x:c>
      <x:c r="B513" s="18" t="str">
        <x:v>角膜・瞳孔を通った光が水晶体で屈折（くっせつ）し、網膜に上下左右が逆の像を結ぶ。毛様体が水晶体の厚さを変えてピントを調節し、視神経が信号を脳へ送る。つながり：水晶体／網膜／視神経／瞳孔</x:v>
      </x:c>
    </x:row>
    <x:row r="514" ht="58" customHeight="1">
      <x:c r="A514" s="104" t="str">
        <x:v>耳のつくりと音の伝わり方</x:v>
      </x:c>
      <x:c r="B514" s="18" t="str">
        <x:v>音で鼓膜が振動し、耳小骨を通ってうずまき管の感覚細胞を刺激し、聴神経で脳へ伝わる。半規管は体の回転、前庭は傾きなどを感じ、聴覚とは別の平衡感覚に関わる。つながり：鼓膜／耳小骨／うずまき管／聴神経</x:v>
      </x:c>
    </x:row>
    <x:row r="515" ht="58" customHeight="1">
      <x:c r="A515" s="104" t="str">
        <x:v>骨格・関節・腱</x:v>
      </x:c>
      <x:c r="B515" s="18" t="str">
        <x:v>骨格は体を支え内臓を守る。骨と骨が動く接続部が関節、筋肉と骨をつなぐ丈夫な組織が腱。靱帯（じんたい）は主に骨どうしをつなぐので区別する。つながり：骨格／関節／筋肉／腱</x:v>
      </x:c>
    </x:row>
    <x:row r="516" ht="58" customHeight="1">
      <x:c r="A516" s="104" t="str">
        <x:v>拮抗（きっこう）する筋肉</x:v>
      </x:c>
      <x:c r="B516" s="18" t="str">
        <x:v>腕を曲げるときは上腕前側の筋肉が縮み後側がゆるみ、伸ばすときは逆になる。筋肉は縮んで引く方向に力を出すため、反対向きにはたらく筋肉が対になって運動する。つながり：筋肉／関節／腱／収縮</x:v>
      </x:c>
    </x:row>
    <x:row r="517" ht="58" customHeight="1">
      <x:c r="A517" s="104" t="str">
        <x:v>呼吸運動模型と圧力</x:v>
      </x:c>
      <x:c r="B517" s="18" t="str">
        <x:v>ベルジャー模型では、容器が胸腔（きょうくう）、風船が肺、管が気管・気管支、底のゴム膜が横隔膜（おうかくまく）に対応する。膜を下げると内部体積が増えて圧力が下がり、外気が入って風船が膨らむ（吸気）。上げると体積が減って圧力が上がり、空気が出る（呼気）。つながり：横隔膜／胸腔／肺／気圧差</x:v>
      </x:c>
    </x:row>
    <x:row r="518" ht="58" customHeight="1">
      <x:c r="A518" s="104" t="str">
        <x:v>栄養素の消化・吸収の比較</x:v>
      </x:c>
      <x:c r="B518" s="18" t="str">
        <x:v>栄養素｜主な消化液・酵素｜最終産物｜主な吸収先｜
デンプン｜だ液・膵液のアミラーゼ、腸液の酵素｜ブドウ糖｜毛細血管｜
タンパク質｜胃液のペプシン、膵液のトリプシン、腸液の酵素｜アミノ酸｜毛細血管｜
脂肪｜胆汁で乳化後、膵液のリパーゼ｜脂肪酸とモノグリセリドなど｜主にリンパ管｜
胆汁自体は消化酵素（しょうかこうそ）を含まず、吸収は主に小腸の絨毛で行われる。つながり：消化酵素／絨毛／毛細血管／リンパ管</x:v>
      </x:c>
    </x:row>
    <x:row r="519" ht="58" customHeight="1">
      <x:c r="A519" s="104" t="str">
        <x:v>雲ができる基本</x:v>
      </x:c>
      <x:c r="B519" s="18" t="str">
        <x:v>空気中の水蒸気が冷やされ、細かな水滴や氷の粒になって空中に浮かぶと雲になる。水蒸気そのものは目に見えず、白く見える湯気も細かな水滴である。つながり：水蒸気／凝結（ぎょうけつ）／水滴／気温</x:v>
      </x:c>
    </x:row>
    <x:row r="520" ht="58" customHeight="1">
      <x:c r="A520" s="104" t="str">
        <x:v>大気の成分</x:v>
      </x:c>
      <x:c r="B520" s="18" t="str">
        <x:v>乾燥空気は体積比で窒素約78%、酸素約21%、アルゴン約0.9%、二酸化（さんか）炭素約0.04%。水蒸気量は場所・時刻で大きく変わる。最も多いのは酸素ではなく窒素。つながり：窒素／酸素／二酸化炭素／水蒸気</x:v>
      </x:c>
    </x:row>
    <x:row r="521" ht="58" customHeight="1">
      <x:c r="A521" s="104" t="str">
        <x:v>大気圧</x:v>
      </x:c>
      <x:c r="B521" s="18" t="str">
        <x:v>大気の重さによって物体の表面に働く圧力。あらゆる向きに働き、海面付近の標準的な値は約1013 hPa。高度が上がるほど上にある空気が減るので小さくなる。つながり：気圧／ヘクトパスカル／高度／空気の重さ</x:v>
      </x:c>
    </x:row>
    <x:row r="522" ht="58" customHeight="1">
      <x:c r="A522" s="104" t="str">
        <x:v>1気圧の大きさ</x:v>
      </x:c>
      <x:c r="B522" s="18" t="str">
        <x:v>1気圧は約1013 hPa＝約101300 Pa。1 Pa＝1 N/m²なので、1 m²には約10万Nの力が働く。体内からもほぼ同じ圧力が押し返すため普段はつぶれない。つながり：パスカル／圧力／大気圧／力</x:v>
      </x:c>
    </x:row>
    <x:row r="523" ht="58" customHeight="1">
      <x:c r="A523" s="104" t="str">
        <x:v>アネロイド気圧計</x:v>
      </x:c>
      <x:c r="B523" s="18" t="str">
        <x:v>金属製の真空に近い容器が気圧で変形するのを利用して測る。液体を使わず持ち運びやすい。読み取り時は目盛りと目の高さをそろえ、軽くたたいて針の摩擦を減らす。つながり：気圧／気圧計／大気圧／観測</x:v>
      </x:c>
    </x:row>
    <x:row r="524" ht="58" customHeight="1">
      <x:c r="A524" s="104" t="str">
        <x:v>主な気象要素</x:v>
      </x:c>
      <x:c r="B524" s="18" t="str">
        <x:v>気温・湿度・気圧・風向・風速・雲量・降水量などを継続して観測する。同じ時刻・場所・器具・方法で測ると変化を比較できる。天気は一つの要素だけでは決まらない。つながり：気温／湿度／気圧／風</x:v>
      </x:c>
    </x:row>
    <x:row r="525" ht="58" customHeight="1">
      <x:c r="A525" s="104" t="str">
        <x:v>飽和水蒸気量（ほうわすいじょうきりょう）</x:v>
      </x:c>
      <x:c r="B525" s="18" t="str">
        <x:v>1 m³の空気がある温度で含むことのできる水蒸気の最大質量。気温が高いほど大きい。『現在含まれる量』ではなく上限なので、気温が変われば値も変わる。つながり：水蒸気／湿度／露点（ろてん）／凝結（ぎょうけつ）</x:v>
      </x:c>
    </x:row>
    <x:row r="526" ht="58" customHeight="1">
      <x:c r="A526" s="104" t="str">
        <x:v>相対湿度の計算</x:v>
      </x:c>
      <x:c r="B526" s="18" t="str">
        <x:v>湿度(%)＝実際の水蒸気量÷その気温での飽和水蒸気量（ほうわすいじょうきりょう）×100。同じ水蒸気量でも気温が下がると飽和水蒸気量が減るため、湿度は上がる。単位をそろえる。つながり：飽和水蒸気量／水蒸気量／気温／露点（ろてん）</x:v>
      </x:c>
    </x:row>
    <x:row r="527" ht="58" customHeight="1">
      <x:c r="A527" s="104" t="str">
        <x:v>露点（ろてん）</x:v>
      </x:c>
      <x:c r="B527" s="18" t="str">
        <x:v>空気を水蒸気量を変えずに冷やしたとき、湿度が100%になり凝結（ぎょうけつ）が始まる温度。露点（ろてん）が高いほど、その空気に実際に含まれる水蒸気量が多い。現在の気温とは別。つながり：凝結／飽和／湿度／水蒸気量</x:v>
      </x:c>
    </x:row>
    <x:row r="528" ht="58" customHeight="1">
      <x:c r="A528" s="104" t="str">
        <x:v>露点（ろてん）から水蒸気量を求める</x:v>
      </x:c>
      <x:c r="B528" s="18" t="str">
        <x:v>空気中の実際の水蒸気量は、露点（ろてん）における飽和水蒸気量（ほうわすいじょうきりょう）に等しい。まず表・グラフで露点の飽和値を読み、その値を現在気温の飽和値で割れば湿度が求まる。つながり：露点／飽和水蒸気量曲線／湿度／凝結（ぎょうけつ）</x:v>
      </x:c>
    </x:row>
    <x:row r="529" ht="58" customHeight="1">
      <x:c r="A529" s="104" t="str">
        <x:v>空気を冷やしたときに凝結（ぎょうけつ）する水の量</x:v>
      </x:c>
      <x:c r="B529" s="18" t="str">
        <x:v>露点（ろてん）より低い温度まで冷やすと、凝結（ぎょうけつ）量＝もとの実際の水蒸気量－冷却後の飽和水蒸気量（ほうわすいじょうきりょう）。体積が指定される場合は1 m³あたりの差に体積を掛ける。つながり：凝結量／露点／飽和水蒸気量／体積</x:v>
      </x:c>
    </x:row>
    <x:row r="530" ht="58" customHeight="1">
      <x:c r="A530" s="104" t="str">
        <x:v>乾湿計（かんしつけい）</x:v>
      </x:c>
      <x:c r="B530" s="18" t="str">
        <x:v>乾球温度計と、ぬれた布を巻いた湿球温度計を用いる。湿球の布を十分ぬらし、通風させて示度が安定してから両方を読む。蒸発で湿球が冷えるため、空気が乾くほど乾球との差が大きく、湿度100%ではほぼ同じ温度になる。つながり：乾球温度／湿球温度／蒸発／湿度表</x:v>
      </x:c>
    </x:row>
    <x:row r="531" ht="58" customHeight="1">
      <x:c r="A531" s="104" t="str">
        <x:v>雲のでき方</x:v>
      </x:c>
      <x:c r="B531" s="18" t="str">
        <x:v>湿った空気が上昇すると周囲の気圧が下がって膨張し、温度が下がる。露点（ろてん）に達すると水蒸気が凝結核（ぎょうけつかく）の周りで水滴や氷晶になり、雲ができる。上昇自体が直接水を生むわけではない。つながり：上昇気流／断熱膨張／露点／凝結（ぎょうけつ）核</x:v>
      </x:c>
    </x:row>
    <x:row r="532" ht="58" customHeight="1">
      <x:c r="A532" s="104" t="str">
        <x:v>断熱膨張（だんねつぼうちょう）と温度低下</x:v>
      </x:c>
      <x:c r="B532" s="18" t="str">
        <x:v>上昇した空気塊は周囲の気圧が低いため膨張し、外へ仕事をして内部エネルギーを失い温度が下がる。熱を外へ逃がしたからだけではない。この冷却が雲の形成につながる。つながり：上昇気流／気圧／雲／凝結（ぎょうけつ）</x:v>
      </x:c>
    </x:row>
    <x:row r="533" ht="58" customHeight="1">
      <x:c r="A533" s="104" t="str">
        <x:v>雲を作る実験</x:v>
      </x:c>
      <x:c r="B533" s="18" t="str">
        <x:v>学校指定の耐圧器具を使い、保護眼鏡を着け、過度に加圧せず栓を人へ向けない。容器内を湿らせ、圧縮後に急に減圧すると空気が膨張・冷却して霧ができる。線香の煙は水滴がつく凝結核（ぎょうけつかく）を供給する。つながり：断熱膨張／凝結（ぎょうけつ）核／霧／気圧</x:v>
      </x:c>
    </x:row>
    <x:row r="534" ht="58" customHeight="1">
      <x:c r="A534" s="104" t="str">
        <x:v>雨や雪になるまで</x:v>
      </x:c>
      <x:c r="B534" s="18" t="str">
        <x:v>雲粒が衝突して大きくなる、または氷晶が成長して落下し、地上まで融ければ雨、融けずに届けば雪になる。雲粒は小さく上昇気流で浮くが、大きく重くなると落ちる。つながり：雲粒／氷晶／上昇気流／降水</x:v>
      </x:c>
    </x:row>
    <x:row r="535" ht="58" customHeight="1">
      <x:c r="A535" s="104" t="str">
        <x:v>風が吹く基本原理</x:v>
      </x:c>
      <x:c r="B535" s="18" t="str">
        <x:v>水平方向の気圧差による力で、空気は基本的に高気圧側から低気圧側へ動き始める。実際の大規模な風は地球の自転の影響で進路を曲げられ、地表付近では摩擦も受けるため、等圧線（とうあつせん）に直角な直線とは限らない。つながり：気圧差／高気圧／低気圧／地球の自転</x:v>
      </x:c>
    </x:row>
    <x:row r="536" ht="58" customHeight="1">
      <x:c r="A536" s="104" t="str">
        <x:v>等圧線（とうあつせん）</x:v>
      </x:c>
      <x:c r="B536" s="18" t="str">
        <x:v>同じ時刻に気圧が等しい地点を結んだ線。通常4 hPaごとに描く。間隔が狭いほど水平気圧差が大きく、一般に風が強い。枝分かれしたり交差したりしない。つながり：気圧／天気図／風速／高気圧</x:v>
      </x:c>
    </x:row>
    <x:row r="537" ht="58" customHeight="1">
      <x:c r="A537" s="104" t="str">
        <x:v>高気圧付近の風と天気</x:v>
      </x:c>
      <x:c r="B537" s="18" t="str">
        <x:v>北半球では地表付近の風が高気圧から時計回りに吹き出す。下降気流で雲ができにくく晴れやすいが、季節や湿度によって霧・低い雲が出ることもあり、必ず快晴とは限らない。つながり：下降気流／時計回り／晴天／北半球</x:v>
      </x:c>
    </x:row>
    <x:row r="538" ht="58" customHeight="1">
      <x:c r="A538" s="104" t="str">
        <x:v>低気圧付近の風と天気</x:v>
      </x:c>
      <x:c r="B538" s="18" t="str">
        <x:v>北半球では地表付近の風が反時計回りに吹き込み、上昇気流となる。空気が冷えて雲や雨が生じやすい。中心へ完全な直線で吹くのではなく、回転しながら収束する。つながり：上昇気流／反時計回り／雲／北半球</x:v>
      </x:c>
    </x:row>
    <x:row r="539" ht="58" customHeight="1">
      <x:c r="A539" s="104" t="str">
        <x:v>気団</x:v>
      </x:c>
      <x:c r="B539" s="18" t="str">
        <x:v>広い範囲で気温・湿度がほぼ一様な大きな空気の塊。発生した海上・大陸や緯度の性質を帯びる。異なる気団が接する境界が前線（ぜんせん）面で、地表との交線が前線。つながり：前線／気温／湿度／空気塊</x:v>
      </x:c>
    </x:row>
    <x:row r="540" ht="58" customHeight="1">
      <x:c r="A540" s="104" t="str">
        <x:v>温暖前線（おんだんぜんせん）</x:v>
      </x:c>
      <x:c r="B540" s="18" t="str">
        <x:v>暖気が寒気の上を緩やかにはい上がる前線（ぜんせん）。広い範囲に層状の雲ができ、比較的弱い雨が長く続きやすい。通過後は気温が上がり、風向が変化することが多い。つながり：暖気／寒気／乱層雲／気温上昇</x:v>
      </x:c>
    </x:row>
    <x:row r="541" ht="58" customHeight="1">
      <x:c r="A541" s="104" t="str">
        <x:v>寒冷前線（かんれいぜんせん）</x:v>
      </x:c>
      <x:c r="B541" s="18" t="str">
        <x:v>進む寒気が暖気の下にもぐり込み、暖気を急に押し上げる前線（ぜんせん）。積乱雲が発達し、狭い範囲で短時間の強い雨や雷・突風が起こりやすい。通過後は気温が下がる。つながり：積乱雲／強雨／寒気／気温低下</x:v>
      </x:c>
    </x:row>
    <x:row r="542" ht="58" customHeight="1">
      <x:c r="A542" s="104" t="str">
        <x:v>温暖前線（おんだんぜんせん）と寒冷前線（かんれいぜんせん）の断面</x:v>
      </x:c>
      <x:c r="B542" s="18" t="str">
        <x:v>温暖前線（おんだんぜんせん）は傾斜が緩く雲・雨域が前線（ぜんせん）の前方へ広がる。寒冷前線（かんれいぜんせん）は傾斜が急で、前線付近に積乱雲が並びやすい。暖気はどちらでも密度の大きい寒気の上に上がる。つながり：前線面／暖気／寒気／雲の種類</x:v>
      </x:c>
    </x:row>
    <x:row r="543" ht="58" customHeight="1">
      <x:c r="A543" s="104" t="str">
        <x:v>停滞前線（ていたいぜんせん）</x:v>
      </x:c>
      <x:c r="B543" s="18" t="str">
        <x:v>暖気と寒気の勢力がほぼ同じで、境界があまり移動しない前線（ぜんせん）。長期間にわたり曇りや雨をもたらす。日本の梅雨前線や秋雨前線が代表。つながり：梅雨前線／秋雨前線／気団／長雨</x:v>
      </x:c>
    </x:row>
    <x:row r="544" ht="58" customHeight="1">
      <x:c r="A544" s="104" t="str">
        <x:v>閉塞前線（へいそくぜんせん）</x:v>
      </x:c>
      <x:c r="B544" s="18" t="str">
        <x:v>寒冷前線（かんれいぜんせん）が温暖前線（おんだんぜんせん）に追いつき、地上の暖気が押し上げられた前線（ぜんせん）。発達した温帯低気圧の後期に見られる。天気図では三角と半円が同じ側に交互に並ぶ。つながり：温帯低気圧／寒冷前線／温暖前線／前線記号</x:v>
      </x:c>
    </x:row>
    <x:row r="545" ht="58" customHeight="1">
      <x:c r="A545" s="104" t="str">
        <x:v>温帯低気圧の発達</x:v>
      </x:c>
      <x:c r="B545" s="18" t="str">
        <x:v>中緯度で暖気と寒気の境界に発生し、温暖前線（おんだんぜんせん）と寒冷前線（かんれいぜんせん）を伴って西から東へ進むことが多い。発達後、寒冷前線が温暖前線に追いつき閉塞して衰える。つながり：温暖前線／寒冷前線／閉塞前線（へいそくぜんせん）／偏西風</x:v>
      </x:c>
    </x:row>
    <x:row r="546" ht="58" customHeight="1">
      <x:c r="A546" s="104" t="str">
        <x:v>前線（ぜんせん）通過を観測値から読む</x:v>
      </x:c>
      <x:c r="B546" s="18" t="str">
        <x:v>温暖前線（おんだんぜんせん）通過では気温上昇、寒冷前線（かんれいぜんせん）通過では気温急降下・風向変化・短時間の強雨が手がかり。気圧は低気圧接近で下がり、通過後に上がることが多い。複数要素を合わせる。つながり：気温／風向／気圧／降水</x:v>
      </x:c>
    </x:row>
    <x:row r="547" ht="58" customHeight="1">
      <x:c r="A547" s="104" t="str">
        <x:v>日本に影響する4気団</x:v>
      </x:c>
      <x:c r="B547" s="18" t="str">
        <x:v>冬のシベリア気団は寒冷・乾燥、夏の小笠原気団は高温・湿潤。梅雨期のオホーツク海気団は冷涼・湿潤、春秋の揚子江気団は温暖・乾燥。つながり：シベリア気団／小笠原気団／オホーツク海気団／揚子江気団</x:v>
      </x:c>
    </x:row>
    <x:row r="548" ht="58" customHeight="1">
      <x:c r="A548" s="104" t="str">
        <x:v>冬型の気圧配置</x:v>
      </x:c>
      <x:c r="B548" s="18" t="str">
        <x:v>西高東低。シベリア高気圧から北西季節風が吹き、日本海で水蒸気を得て山地で雪を降らせる。日本海側は雪や曇り、山を越えた太平洋側は乾燥した晴天になりやすい。つながり：西高東低／北西季節風／日本海側／太平洋側</x:v>
      </x:c>
    </x:row>
    <x:row r="549" ht="58" customHeight="1">
      <x:c r="A549" s="104" t="str">
        <x:v>春・秋の移動性高気圧</x:v>
      </x:c>
      <x:c r="B549" s="18" t="str">
        <x:v>偏西風に乗って高気圧と低気圧が交互に西から東へ進み、天気が数日周期で変わりやすい。高気圧通過中は晴れ、低気圧・前線（ぜんせん）の接近で雨になりやすい。つながり：移動性高気圧／温帯低気圧／偏西風／周期変化</x:v>
      </x:c>
    </x:row>
    <x:row r="550" ht="58" customHeight="1">
      <x:c r="A550" s="104" t="str">
        <x:v>梅雨の仕組み</x:v>
      </x:c>
      <x:c r="B550" s="18" t="str">
        <x:v>冷涼で湿ったオホーツク海気団と、高温で湿った小笠原気団の間に梅雨前線（ぜんせん）が停滞し、曇雨天が続く。前線上の低気圧や湿った空気で大雨になることもある。つながり：梅雨前線／オホーツク海気団／小笠原気団／停滞前線（ていたいぜんせん）</x:v>
      </x:c>
    </x:row>
    <x:row r="551" ht="58" customHeight="1">
      <x:c r="A551" s="104" t="str">
        <x:v>夏型の気圧配置</x:v>
      </x:c>
      <x:c r="B551" s="18" t="str">
        <x:v>太平洋高気圧（小笠原気団）に広く覆われ、高温で晴れる日が多い。強い日射で地表付近が熱せられると上昇気流が生じ、午後に積乱雲・雷雨が発生することもある。つながり：太平洋高気圧／小笠原気団／積乱雲／雷雨</x:v>
      </x:c>
    </x:row>
    <x:row r="552" ht="58" customHeight="1">
      <x:c r="A552" s="104" t="str">
        <x:v>季節風</x:v>
      </x:c>
      <x:c r="B552" s="18" t="str">
        <x:v>大陸と海洋の温まり方・冷え方の違いで、季節により卓越風向が変わる風。冬は大陸から海へ、夏は海から大陸へ吹きやすい。地球規模の気圧配置も関わる。つながり：比熱／大陸／海洋／気圧差</x:v>
      </x:c>
    </x:row>
    <x:row r="553" ht="58" customHeight="1">
      <x:c r="A553" s="104" t="str">
        <x:v>海風と陸風</x:v>
      </x:c>
      <x:c r="B553" s="18" t="str">
        <x:v>昼は陸が海より早く温まり、陸上で上昇気流が生じて海から陸へ海風が吹く。夜は陸が早く冷え、陸から海へ陸風が吹く。日変化する小規模な循環。つながり：海風／陸風／比熱／気圧差</x:v>
      </x:c>
    </x:row>
    <x:row r="554" ht="58" customHeight="1">
      <x:c r="A554" s="104" t="str">
        <x:v>フェーン現象</x:v>
      </x:c>
      <x:c r="B554" s="18" t="str">
        <x:v>湿った空気が山を上ると冷えて雨を降らせ、山を越えて下ると圧縮されて温度が上がる。風下側で高温・乾燥した風になる。単に南から暖気が来る現象ではない。つながり：断熱変化／山越え気流／乾燥／風下</x:v>
      </x:c>
    </x:row>
    <x:row r="555" ht="58" customHeight="1">
      <x:c r="A555" s="104" t="str">
        <x:v>台風</x:v>
      </x:c>
      <x:c r="B555" s="18" t="str">
        <x:v>北西太平洋（赤道より北・東経180°より西）または南シナ海にある熱帯低気圧のうち、低気圧域内の最大風速（10分間平均）が約17 m/s（34 kt、風力8）以上のもの。暖かい海から得た水蒸気の凝結（ぎょうけつ）熱で発達し、基本的に前線（ぜんせん）を伴わない。つながり：熱帯低気圧／水蒸気／凝結熱／暴風</x:v>
      </x:c>
    </x:row>
    <x:row r="556" ht="58" customHeight="1">
      <x:c r="A556" s="104" t="str">
        <x:v>台風の風と進路</x:v>
      </x:c>
      <x:c r="B556" s="18" t="str">
        <x:v>北半球では中心へ反時計回りに強風が吹き込む。日本付近では太平洋高気圧の縁や偏西風の影響を受け、北上後に東寄りへ進路を変え、速度を上げることが多い。つながり：反時計回り／太平洋高気圧／偏西風／進路</x:v>
      </x:c>
    </x:row>
    <x:row r="557" ht="58" customHeight="1">
      <x:c r="A557" s="104" t="str">
        <x:v>気象衛星（えいせい）画像とレーダー</x:v>
      </x:c>
      <x:c r="B557" s="18" t="str">
        <x:v>衛星（えいせい）画像は広域の雲の分布・動きを捉え、気象レーダーは雨や雪の位置・強さ・移動を詳しく捉える。衛星の白い部分がすべて降水域とは限らない。つながり：気象衛星／気象レーダー／雲／降水</x:v>
      </x:c>
    </x:row>
    <x:row r="558" ht="58" customHeight="1">
      <x:c r="A558" s="104" t="str">
        <x:v>天気記号の読み方</x:v>
      </x:c>
      <x:c r="B558" s="18" t="str">
        <x:v>観測点記号では中心の天気、羽根の向きで風向、羽根の数などで風力を表す。風向は矢が進む向きでなく、棒が伸びる側から吹いてくる風として読む。凡例を確認する。つながり：天気記号／風向／風力／観測点</x:v>
      </x:c>
    </x:row>
    <x:row r="559" ht="58" customHeight="1">
      <x:c r="A559" s="104" t="str">
        <x:v>降水確率の意味</x:v>
      </x:c>
      <x:c r="B559" s="18" t="str">
        <x:v>予報区内で一定時間内に1 mm以上の雨または雪が降る確率の平均値で、0、10、…、100%の10%刻みで発表される。30%予報を同じ条件で100回出せば約30回で1 mm以上となる意味で、雨の強さ・量・継続時間や区域の30%に降ることを示さない。つながり：天気予報／降水量／確率／予報区</x:v>
      </x:c>
    </x:row>
    <x:row r="560" ht="58" customHeight="1">
      <x:c r="A560" s="104" t="str">
        <x:v>線状降水帯</x:v>
      </x:c>
      <x:c r="B560" s="18" t="str">
        <x:v>発達した積乱雲が次々に同じ場所を通過・発生して線状に連なり、長時間の大雨をもたらす現象。河川氾濫や土砂災害の危険が急増するため、早めの避難判断が必要。つながり：積乱雲／集中豪雨／洪水／土砂災害</x:v>
      </x:c>
    </x:row>
    <x:row r="561" ht="58" customHeight="1">
      <x:c r="A561" s="104" t="str">
        <x:v>土砂災害の前兆と避難</x:v>
      </x:c>
      <x:c r="B561" s="18" t="str">
        <x:v>崖の亀裂、小石が落ちる、湧水の濁り、地鳴りなどは前兆になりうるが、前兆なしでも発生する。警戒区域・雨量・警報を確認し、危険な斜面や谷から早く離れる。つながり：土石流／崖崩れ／地すべり／大雨警報</x:v>
      </x:c>
    </x:row>
    <x:row r="562" ht="58" customHeight="1">
      <x:c r="A562" s="104" t="str">
        <x:v>気温・湿度の日変化</x:v>
      </x:c>
      <x:c r="B562" s="18" t="str">
        <x:v>晴天日は日射で地面が暖まるため気温は正午より遅い14時ごろ最高、日の出前ごろ最低になりやすい。水蒸気量がほぼ同じなら、湿度は気温と逆向きに変化しやすい。つながり：日射／最高気温／飽和水蒸気量（ほうわすいじょうきりょう）／相対湿度</x:v>
      </x:c>
    </x:row>
    <x:row r="563" ht="58" customHeight="1">
      <x:c r="A563" s="104" t="str">
        <x:v>露点（ろてん）を測る金属容器の実験</x:v>
      </x:c>
      <x:c r="B563" s="18" t="str">
        <x:v>磨いた金属容器に水と温度計を入れ、かき混ぜながら氷水を少しずつ加える。容器の外側が曇り始めた瞬間の水温を、その空気の露点（ろてん）とみなす。金属は熱を伝えやすく、容器表面と中の水の温度がほぼ等しくなることを利用する。つながり：露点／凝結（ぎょうけつ）／水蒸気／湿度</x:v>
      </x:c>
    </x:row>
    <x:row r="564" ht="58" customHeight="1">
      <x:c r="A564" s="104" t="str">
        <x:v>冷えた容器の外側に付く水滴</x:v>
      </x:c>
      <x:c r="B564" s="18" t="str">
        <x:v>周囲の空気が容器表面で露点（ろてん）以下に冷え、空気中の水蒸気が凝結（ぎょうけつ）してできたもの。容器内の水が壁を染み出したのではない。外面を事前に乾かし、冷やさない対照と比べると由来を確かめやすい。つながり：水蒸気／露点／凝結／対照実験（たいしょうじっけん）</x:v>
      </x:c>
    </x:row>
    <x:row r="565" ht="58" customHeight="1">
      <x:c r="A565" s="104" t="str">
        <x:v>4種類の前線（ぜんせん）記号と進行方向</x:v>
      </x:c>
      <x:c r="B565" s="18" t="str">
        <x:v>前線（ぜんせん）｜記号｜進行方向｜
温暖｜半円｜半円が向く側｜
寒冷｜三角｜三角が向く側｜
停滞｜半円と三角が反対側｜動きが小さく、一方向を示さない｜
閉塞｜半円と三角が同じ側｜記号が向く側｜
白黒図では色でなく形と記号の側を読む。つながり：温暖前線（おんだんぜんせん）／寒冷前線（かんれいぜんせん）／停滞前線（ていたいぜんせん）／閉塞前線（へいそくぜんせん）</x:v>
      </x:c>
    </x:row>
    <x:row r="566" ht="58" customHeight="1">
      <x:c r="A566" s="104" t="str">
        <x:v>乾湿計の湿度表の読み方</x:v>
      </x:c>
      <x:c r="B566" s="18" t="str">
        <x:v>①乾球温度と湿球温度を読む、②乾球温度−湿球温度を求める、③湿度表の乾球温度の行と温度差の列の交点を読む。例として乾球20℃・湿球16℃なら温度差4℃の欄を使う。表によって行列が逆の場合は見出しを確認し、両温度が同じなら湿度は100%である。つながり：乾球温度／湿球温度／温度差／相対湿度</x:v>
      </x:c>
    </x:row>
    <x:row r="567" ht="58" customHeight="1">
      <x:c r="A567" s="104" t="str">
        <x:v>測定範囲の外を予測すること</x:v>
      </x:c>
      <x:c r="B567" s="18" t="str">
        <x:v>既知データの外側へ傾向を延ばして見積もることを外挿（がいそう）という。範囲外では法則や状態が変わる可能性があり、内挿（ないそう）より不確かさが大きい。つながり：外挿／内挿／不確かさ／適用範囲</x:v>
      </x:c>
    </x:row>
    <x:row r="568" ht="58" customHeight="1">
      <x:c r="A568" s="104" t="str">
        <x:v>見かけの関係をつくる第三の要因</x:v>
      </x:c>
      <x:c r="B568" s="18" t="str">
        <x:v>二量の両方へ影響し、関係があるように見せる要因を交絡要因（こうらくよういん）という。気温が上がると飲料販売と水難事故が共に増えても、販売が事故の原因とは限らない。つながり：交絡要因／相関／因果／条件制御</x:v>
      </x:c>
    </x:row>
    <x:row r="569" ht="58" customHeight="1">
      <x:c r="A569" s="104" t="str">
        <x:v>模型から言えることの限界</x:v>
      </x:c>
      <x:c r="B569" s="18" t="str">
        <x:v>模型は注目する構造・関係を単純化して表す。粒子の色や天体間距離など、説明のために変えた部分を現実そのものと思わず、何を表し何を省いたか明示する。つながり：模型／単純化／粒子モデル／天体モデル</x:v>
      </x:c>
    </x:row>
    <x:row r="570" ht="58" customHeight="1">
      <x:c r="A570" s="104" t="str">
        <x:v>熱の伝わり方</x:v>
      </x:c>
      <x:c r="B570" s="18" t="str">
        <x:v>熱は高温の物体から低温の物体へ移り、温度差を小さくする。伝わり方には伝導・対流・放射があり、同時に起こることもある。つながり：熱伝導／対流／放射</x:v>
      </x:c>
    </x:row>
    <x:row r="571" ht="58" customHeight="1">
      <x:c r="A571" s="104" t="str">
        <x:v>熱放射</x:v>
      </x:c>
      <x:c r="B571" s="18" t="str">
        <x:v>赤外線などの電磁波で熱が伝わる現象。物質がない真空中でも伝わるため、太陽の熱が地球へ届く。黒くつやのない面は放射を吸収・放出しやすい。つながり：赤外線／真空／太陽</x:v>
      </x:c>
    </x:row>
    <x:row r="572" ht="58" customHeight="1">
      <x:c r="A572" s="104" t="str">
        <x:v>断熱</x:v>
      </x:c>
      <x:c r="B572" s="18" t="str">
        <x:v>熱の移動を小さくすること。空気は熱を伝えにくいため、発泡材や二重窓、衣服の空気層が役立つ。魔法瓶は伝導・対流・放射をそれぞれ抑える。つながり：熱伝導／対流／放射</x:v>
      </x:c>
    </x:row>
    <x:row r="573" ht="58" customHeight="1">
      <x:c r="A573" s="104" t="str">
        <x:v>合力</x:v>
      </x:c>
      <x:c r="B573" s="18" t="str">
        <x:v>複数の力と同じはたらきをする1つの力。同じ向きなら足し、反対向きなら大きい方から小さい方を引く。合力が0なら力はつり合う。つながり：力の合成／つり合い／分力</x:v>
      </x:c>
    </x:row>
    <x:row r="574" ht="58" customHeight="1">
      <x:c r="A574" s="104" t="str">
        <x:v>平行四辺形による力の合成</x:v>
      </x:c>
      <x:c r="B574" s="18" t="str">
        <x:v>同じ作用点（さようてん）の2力を隣り合う辺とする平行四辺形を作り、作用点から引いた対角線が合力。直角な2力なら、合力の大きさは三平方の関係で求められる場合がある。つながり：合力／ベクトル／分力</x:v>
      </x:c>
    </x:row>
    <x:row r="575" ht="58" customHeight="1">
      <x:c r="A575" s="104" t="str">
        <x:v>分力</x:v>
      </x:c>
      <x:c r="B575" s="18" t="str">
        <x:v>1つの力を、同じはたらきをする複数の方向の力に分けたもの。元の力を対角線とする平行四辺形の辺が分力。斜面上の重力を斜面方向と垂直方向へ分けるなどに使う。つながり：力の分解／合力／斜面</x:v>
      </x:c>
    </x:row>
    <x:row r="576" ht="58" customHeight="1">
      <x:c r="A576" s="104" t="str">
        <x:v>定滑車</x:v>
      </x:c>
      <x:c r="B576" s="18" t="str">
        <x:v>軸が固定された滑車。力を加える向きを変えられるが、摩擦を無視すると必要な力の大きさも引く距離も変わらない。天井側を支点（してん）と混同しない。つながり：動滑車／仕事の原理／張力</x:v>
      </x:c>
    </x:row>
    <x:row r="577" ht="58" customHeight="1">
      <x:c r="A577" s="104" t="str">
        <x:v>動滑車</x:v>
      </x:c>
      <x:c r="B577" s="18" t="str">
        <x:v>滑車自体が荷物とともに動く。1個を2本のロープで支える理想条件では必要な力は重さの1/2になるが、引く距離は荷物の上昇距離の2倍。滑車の重さを含む問題に注意。つながり：定滑車／仕事の原理／張力</x:v>
      </x:c>
    </x:row>
    <x:row r="578" ht="58" customHeight="1">
      <x:c r="A578" s="104" t="str">
        <x:v>斜面（しゃめん）と仕事</x:v>
      </x:c>
      <x:c r="B578" s="18" t="str">
        <x:v>摩擦を無視すると、斜面を使えば物体を持ち上げる力は小さくなるが、移動距離は長くなる。斜面に沿ってした仕事は、鉛直に持ち上げた仕事と等しい。つながり：仕事の原理／位置エネルギー／分力</x:v>
      </x:c>
    </x:row>
    <x:row r="579" ht="58" customHeight="1">
      <x:c r="A579" s="104" t="str">
        <x:v>運動の基準点</x:v>
      </x:c>
      <x:c r="B579" s="18" t="str">
        <x:v>物体が動いているかどうかは、どの物体を基準にするかで変わる。電車内で座る人は車内には静止、地面には運動している。位置は基準点からの向きと距離で表す。つながり：相対運動／位置／速度</x:v>
      </x:c>
    </x:row>
    <x:row r="580" ht="58" customHeight="1">
      <x:c r="A580" s="104" t="str">
        <x:v>速さ</x:v>
      </x:c>
      <x:c r="B580" s="18" t="str">
        <x:v>単位時間あたりに進む距離。速さ＝距離÷時間、距離＝速さ×時間、時間＝距離÷速さ。向きを含む速度とは異なるが、中学では速さを中心に扱う。つながり：距離／時間／平均の速さ</x:v>
      </x:c>
    </x:row>
    <x:row r="581" ht="58" customHeight="1">
      <x:c r="A581" s="104" t="str">
        <x:v>m/sとkm/hの変換</x:v>
      </x:c>
      <x:c r="B581" s="18" t="str">
        <x:v>1 m/s＝3.6 km/h。m/sからkm/hへは×3.6、km/hからm/sへは÷3.6。距離と時間の単位を式へ入れる前にそろえる。つながり：速さ／単位換算／距離</x:v>
      </x:c>
    </x:row>
    <x:row r="582" ht="58" customHeight="1">
      <x:c r="A582" s="104" t="str">
        <x:v>平均の速さ</x:v>
      </x:c>
      <x:c r="B582" s="18" t="str">
        <x:v>移動した全距離÷かかった全時間。区間ごとの速さを単純平均してよいのは各区間の時間が等しい場合などに限る。停止時間を含むなら全時間に含める。つながり：速さ／全距離／瞬間の速さ</x:v>
      </x:c>
    </x:row>
    <x:row r="583" ht="58" customHeight="1">
      <x:c r="A583" s="104" t="str">
        <x:v>瞬間の速さ</x:v>
      </x:c>
      <x:c r="B583" s="18" t="str">
        <x:v>ごく短い時間で見た速さ。自動車の速度計が示す値に相当する。記録タイマーでは短い時間間隔の移動距離から近似し、平均の速さと区別する。つながり：平均の速さ／記録タイマー／加速</x:v>
      </x:c>
    </x:row>
    <x:row r="584" ht="58" customHeight="1">
      <x:c r="A584" s="104" t="str">
        <x:v>記録タイマー</x:v>
      </x:c>
      <x:c r="B584" s="18" t="str">
        <x:v>一定時間ごとにテープへ点を打つ。50 Hzなら1区間0.02秒で5区間（両端を含む点6個）、60 Hzなら6区間（点7個）が0.1秒。点の個数と点の間の区間数を混同しない。つながり：打点間隔／速さ／周波数</x:v>
      </x:c>
    </x:row>
    <x:row r="585" ht="58" customHeight="1">
      <x:c r="A585" s="104" t="str">
        <x:v>記録テープの読み方</x:v>
      </x:c>
      <x:c r="B585" s="18" t="str">
        <x:v>同じ時間区間ごとのテープ片が長いほど速い。片の長さが一定なら等速、一定ずつ増えるなら速さが一定の割合で増えている。点の個数ではなく区間数で時間を数える。つながり：等速直線運動／加速／記録タイマー</x:v>
      </x:c>
    </x:row>
    <x:row r="586" ht="58" customHeight="1">
      <x:c r="A586" s="104" t="str">
        <x:v>移動距離―時間グラフ</x:v>
      </x:c>
      <x:c r="B586" s="18" t="str">
        <x:v>横軸が時間、縦軸が移動距離なら、傾きが速さを表し、急ほど速い。水平なら移動していない。位置―時間グラフでは傾きの符号が運動の向き、絶対値が速さを表すので区別する。つながり：傾き／速さ／位置</x:v>
      </x:c>
    </x:row>
    <x:row r="587" ht="58" customHeight="1">
      <x:c r="A587" s="104" t="str">
        <x:v>速さ―時間グラフ</x:v>
      </x:c>
      <x:c r="B587" s="18" t="str">
        <x:v>横軸が時間、縦軸が速さ。水平線は一定の速さ、右上がりは加速、右下がりは減速。グラフと時間軸で囲む面積は進んだ距離を表す。つながり：加速／移動距離／面積</x:v>
      </x:c>
    </x:row>
    <x:row r="588" ht="58" customHeight="1">
      <x:c r="A588" s="104" t="str">
        <x:v>等速直線運動</x:v>
      </x:c>
      <x:c r="B588" s="18" t="str">
        <x:v>一直線上を一定の速さで進む運動。距離―時間グラフは一定の傾きの直線、速さ―時間グラフは水平線。合力が0なら静止だけでなくこの運動も続く。つながり：慣性（かんせい）／力のつり合い／グラフ</x:v>
      </x:c>
    </x:row>
    <x:row r="589" ht="58" customHeight="1">
      <x:c r="A589" s="104" t="str">
        <x:v>自由落下</x:v>
      </x:c>
      <x:c r="B589" s="18" t="str">
        <x:v>空気抵抗を無視し、重力だけで落ちる運動。落下中は下向きの速さが一定の割合で増える。重い物体ほど速く落ちるのではなく、同じ場所なら加速の割合は同じ。つながり：重力／加速／空気抵抗</x:v>
      </x:c>
    </x:row>
    <x:row r="590" ht="58" customHeight="1">
      <x:c r="A590" s="104" t="str">
        <x:v>斜面（しゃめん）を下る運動</x:v>
      </x:c>
      <x:c r="B590" s="18" t="str">
        <x:v>斜面方向の重力の分力によって速さが増す。同じ台車を用い、摩擦や空気抵抗を無視できる条件では、斜面が急なほど速さの増え方が大きく、斜面が同じなら質量によらず増え方はほぼ同じ。つながり：分力／加速／重力</x:v>
      </x:c>
    </x:row>
    <x:row r="591" ht="58" customHeight="1">
      <x:c r="A591" s="104" t="str">
        <x:v>慣性（かんせい）</x:v>
      </x:c>
      <x:c r="B591" s="18" t="str">
        <x:v>物体が現在の運動状態を保とうとする性質。合力が0なら、静止物体は静止を、運動物体は等速直線運動を続ける。力がなければ運動が止まる、は摩擦を見落とした誤解。つながり：等速直線運動／合力／摩擦</x:v>
      </x:c>
    </x:row>
    <x:row r="592" ht="58" customHeight="1">
      <x:c r="A592" s="104" t="str">
        <x:v>慣性（かんせい）の身近な例</x:v>
      </x:c>
      <x:c r="B592" s="18" t="str">
        <x:v>急発進する車内で体が後ろへ傾くのは体が静止を保とうとし、急停止で前へ傾くのは運動を保とうとするため。体を後ろや前へ引く新しい力が直接生じたわけではない。つながり：慣性（かんせい）／急発進／急停止</x:v>
      </x:c>
    </x:row>
    <x:row r="593" ht="58" customHeight="1">
      <x:c r="A593" s="104" t="str">
        <x:v>作用・反作用</x:v>
      </x:c>
      <x:c r="B593" s="18" t="str">
        <x:v>物体AがBに力を及ぼすと、同時にBもAへ大きさが等しく向きが反対の力を及ぼす。2力は別々の物体にはたらくため、同一物体上の力のつり合いではない。つながり：力のつり合い／垂直抗力／反作用</x:v>
      </x:c>
    </x:row>
    <x:row r="594" ht="58" customHeight="1">
      <x:c r="A594" s="104" t="str">
        <x:v>力と速さの変化</x:v>
      </x:c>
      <x:c r="B594" s="18" t="str">
        <x:v>運動方向と同じ向きに合力があれば速くなり、反対向きなら遅くなる。合力が0なら速さは変わらない。一定の力があると「一定の速さ」ではなく「一定の割合で速さが変化」する。つながり：合力／加速／慣性（かんせい）</x:v>
      </x:c>
    </x:row>
    <x:row r="595" ht="58" customHeight="1">
      <x:c r="A595" s="104" t="str">
        <x:v>力がする仕事</x:v>
      </x:c>
      <x:c r="B595" s="18" t="str">
        <x:v>力が物体をその力の向きに移動させたとき、仕事W＝力N×力の向きの移動距離m。単位はJ。力と移動が同方向でないときは、その方向の成分を使う。つながり：ジュール／力／移動距離</x:v>
      </x:c>
    </x:row>
    <x:row r="596" ht="58" customHeight="1">
      <x:c r="A596" s="104" t="str">
        <x:v>仕事が0になる場合</x:v>
      </x:c>
      <x:c r="B596" s="18" t="str">
        <x:v>力を加えても物体が動かない場合、または力と移動方向が垂直な場合、その力のした仕事は0。荷物を水平に運ぶとき、支える上向きの力の仕事は0。疲労とは別の物理量。つながり：仕事／移動距離／力の向き</x:v>
      </x:c>
    </x:row>
    <x:row r="597" ht="58" customHeight="1">
      <x:c r="A597" s="104" t="str">
        <x:v>仕事率</x:v>
      </x:c>
      <x:c r="B597" s="18" t="str">
        <x:v>単位時間あたりにする仕事。仕事率P＝仕事W÷時間s、単位はW。100 Jの仕事を5秒なら20 W。同じ仕事でも短時間で行うほど仕事率は大きい。つながり：仕事／ワット／電力</x:v>
      </x:c>
    </x:row>
    <x:row r="598" ht="58" customHeight="1">
      <x:c r="A598" s="104" t="str">
        <x:v>仕事の原理</x:v>
      </x:c>
      <x:c r="B598" s="18" t="str">
        <x:v>道具を使って必要な力を小さくしても、その分動かす距離が長くなり、摩擦を無視すれば仕事の量は変わらない。てこ・滑車・斜面に共通する。つながり：てこ／滑車／斜面</x:v>
      </x:c>
    </x:row>
    <x:row r="599" ht="58" customHeight="1">
      <x:c r="A599" s="104" t="str">
        <x:v>位置エネルギー</x:v>
      </x:c>
      <x:c r="B599" s="18" t="str">
        <x:v>高い位置にある物体が持つエネルギー。基準面からの高さと質量が大きいほど大きく、重力による位置エネルギーは「重さN×高さm」でJになる。基準面の選び方に注意。つながり：重力／高さ／運動エネルギー</x:v>
      </x:c>
    </x:row>
    <x:row r="600" ht="58" customHeight="1">
      <x:c r="A600" s="104" t="str">
        <x:v>運動エネルギー</x:v>
      </x:c>
      <x:c r="B600" s="18" t="str">
        <x:v>運動している物体が持つエネルギー。質量が大きいほど、速さが大きいほど大きい。特に速さの2乗に比例するため、速さが2倍なら運動エネルギーは4倍。つながり：速さ／質量／位置エネルギー</x:v>
      </x:c>
    </x:row>
    <x:row r="601" ht="58" customHeight="1">
      <x:c r="A601" s="104" t="str">
        <x:v>力学的エネルギー（りきがくてきえねるぎー）保存</x:v>
      </x:c>
      <x:c r="B601" s="18" t="str">
        <x:v>摩擦や空気抵抗を無視できるとき、位置エネルギー＋運動エネルギーは一定。落下では位置が減った分だけ運動が増える。各エネルギー単独が一定なのではない。つながり：位置エネルギー／運動エネルギー／自由落下</x:v>
      </x:c>
    </x:row>
    <x:row r="602" ht="58" customHeight="1">
      <x:c r="A602" s="104" t="str">
        <x:v>摩擦があるときのエネルギー</x:v>
      </x:c>
      <x:c r="B602" s="18" t="str">
        <x:v>力学的エネルギー（りきがくてきえねるぎー）の一部が熱や音などへ変換されるため、力学的エネルギーは減る。しかし熱なども含めた全エネルギーは保存される。「エネルギーが消えた」わけではない。つながり：摩擦／熱／エネルギー保存</x:v>
      </x:c>
    </x:row>
    <x:row r="603" ht="58" customHeight="1">
      <x:c r="A603" s="104" t="str">
        <x:v>発電に共通するエネルギー変換</x:v>
      </x:c>
      <x:c r="B603" s="18" t="str">
        <x:v>火力・水力・原子力・風力の多くは、タービンなどの運動で発電機を回し、電磁誘導（でんじゆうどう）で電気を得る。太陽光発電は光を直接電気へ変え、回転する発電機を使わない。つながり：発電機／電磁誘導／タービン</x:v>
      </x:c>
    </x:row>
    <x:row r="604" ht="58" customHeight="1">
      <x:c r="A604" s="104" t="str">
        <x:v>火力発電の変換経路</x:v>
      </x:c>
      <x:c r="B604" s="18" t="str">
        <x:v>燃料の化学エネルギー→熱→蒸気の運動→タービンの運動→電気。出力を調整しやすい一方、化石燃料は有限で、燃焼により二酸化（さんか）炭素や大気汚染物質が生じる。つながり：化石燃料／タービン／二酸化炭素</x:v>
      </x:c>
    </x:row>
    <x:row r="605" ht="58" customHeight="1">
      <x:c r="A605" s="104" t="str">
        <x:v>揚水発電が電気を蓄える仕組み</x:v>
      </x:c>
      <x:c r="B605" s="18" t="str">
        <x:v>電力が余るときにポンプで水を上の貯水池へ上げ、位置エネルギーとして蓄える。需要が多いときに水を落として発電する。往復で損失はあるが、大量の需給調整（じゅきゅうちょうせい）に使える。つながり：位置エネルギー／蓄電／需給調整</x:v>
      </x:c>
    </x:row>
    <x:row r="606" ht="58" customHeight="1">
      <x:c r="A606" s="104" t="str">
        <x:v>原子力発電の変換経路</x:v>
      </x:c>
      <x:c r="B606" s="18" t="str">
        <x:v>核分裂で得たエネルギー→熱→蒸気→タービンの運動→電気。運転時の二酸化（さんか）炭素排出は少ないが、放射性廃棄物・事故リスク・冷却や廃炉を含めて考える。つながり：核分裂／放射性物質（ほうしゃせいぶっしつ）／タービン</x:v>
      </x:c>
    </x:row>
    <x:row r="607" ht="58" customHeight="1">
      <x:c r="A607" s="104" t="str">
        <x:v>太陽光発電と風力発電</x:v>
      </x:c>
      <x:c r="B607" s="18" t="str">
        <x:v>太陽光は光を直接、風力は風の運動を発電機で電気へ変える。どちらも燃料をほぼ使わないが、天候や時刻で出力が変動するため、送電網・蓄電・他電源との組合せが重要。つながり：再生可能エネルギー／蓄電／出力変動</x:v>
      </x:c>
    </x:row>
    <x:row r="608" ht="58" customHeight="1">
      <x:c r="A608" s="104" t="str">
        <x:v>再生可能資源と枯渇性（こかつせい）資源</x:v>
      </x:c>
      <x:c r="B608" s="18" t="str">
        <x:v>太陽光・風・水など自然の過程で繰り返し補われる資源が再生可能資源。石油・石炭・天然ガス・ウランなど採取可能量が有限なものは枯渇性（こかつせい）資源。再生可能でも環境影響が0とは限らない。つながり：化石燃料／太陽光／持続可能性</x:v>
      </x:c>
    </x:row>
    <x:row r="609" ht="58" customHeight="1">
      <x:c r="A609" s="104" t="str">
        <x:v>エネルギー変換効率</x:v>
      </x:c>
      <x:c r="B609" s="18" t="str">
        <x:v>投入したエネルギーのうち目的に利用できた割合。効率％＝有効利用エネルギー÷投入エネルギー×100。残りは主に熱や音へ変わり、全エネルギー自体が消えるわけではない。つながり：エネルギー保存／熱損失／百分率</x:v>
      </x:c>
    </x:row>
    <x:row r="610" ht="58" customHeight="1">
      <x:c r="A610" s="104" t="str">
        <x:v>変動する発電を安定供給へつなぐ方法</x:v>
      </x:c>
      <x:c r="B610" s="18" t="str">
        <x:v>太陽光・風力の出力変動に対し、蓄電、広域送電と地域間連系、使う時刻をずらす需要調整、出力を調節できる発電を組み合わせ、需要と供給を常に近づける。つながり：蓄電／送電網／需給調整（じゅきゅうちょうせい）</x:v>
      </x:c>
    </x:row>
    <x:row r="611" ht="58" customHeight="1">
      <x:c r="A611" s="104" t="str">
        <x:v>放射線（ほうしゃせん）・放射能（ほうしゃのう）・放射性物質（ほうしゃせいぶっしつ）</x:v>
      </x:c>
      <x:c r="B611" s="18" t="str">
        <x:v>放射線（ほうしゃせん）は高いエネルギーをもつ粒子や電磁波。放射能（ほうしゃのう）は放射線を出す能力、放射性物質（ほうしゃせいぶっしつ）はその能力をもつ物質。三つを同じ物として扱わない。つながり：原子核（げんしかく）／放射性物質／放射線防護</x:v>
      </x:c>
    </x:row>
    <x:row r="612" ht="58" customHeight="1">
      <x:c r="A612" s="104" t="str">
        <x:v>α線・β線・γ線の透過性（とうかせい）</x:v>
      </x:c>
      <x:c r="B612" s="18" t="str">
        <x:v>一般にα線は紙や皮膚、β線は薄い金属板、γ線は厚い鉛やコンクリートで弱められる。透過性（とうかせい）はα＜β＜γだが、人体への影響は透過性だけでなく線量や体内外の位置で変わる。つながり：遮へい／線量／放射線（ほうしゃせん）</x:v>
      </x:c>
    </x:row>
    <x:row r="613" ht="58" customHeight="1">
      <x:c r="A613" s="104" t="str">
        <x:v>放射線（ほうしゃせん）の利用</x:v>
      </x:c>
      <x:c r="B613" s="18" t="str">
        <x:v>透過・電離（でんり）などの性質を利用し、医療画像、がん治療、器具の滅菌、工業製品の非破壊検査、物質の追跡などに使う。用途ごとに種類と量を管理する。つながり：医療／非破壊検査／電離作用（でんりさよう）</x:v>
      </x:c>
    </x:row>
    <x:row r="614" ht="58" customHeight="1">
      <x:c r="A614" s="104" t="str">
        <x:v>放射線（ほうしゃせん）から身を守る三原則</x:v>
      </x:c>
      <x:c r="B614" s="18" t="str">
        <x:v>受ける線量を減らす基本は、放射線（ほうしゃせん）源の近くにいる時間を短くする、距離を取る、種類に合う物質で遮へいすること。危険性は「ある・ない」だけでなく線量で考える。つながり：時間／距離／遮へい</x:v>
      </x:c>
    </x:row>
    <x:row r="615" ht="58" customHeight="1">
      <x:c r="A615" s="104" t="str">
        <x:v>BTB溶液</x:v>
      </x:c>
      <x:c r="B615" s="18" t="str">
        <x:v>酸性で黄色、中性で緑色、アルカリ性で青色を示す指示薬。色は連続的に変わるため、中和（ちゅうわ）点付近の変化を観察できる。元の液に色がある場合は判定しにくい。つながり：指示薬／中和／pH</x:v>
      </x:c>
    </x:row>
    <x:row r="616" ht="58" customHeight="1">
      <x:c r="A616" s="104" t="str">
        <x:v>pH</x:v>
      </x:c>
      <x:c r="B616" s="18" t="str">
        <x:v>水溶液の酸性・アルカリ性の程度を表す尺度。およそpH7が中性で、7より小さいほど酸性が強く、7より大きいほどアルカリ性が強い。指示薬やpH試験紙で調べる。つながり：水素イオン／中性／指示薬</x:v>
      </x:c>
    </x:row>
    <x:row r="617" ht="58" customHeight="1">
      <x:c r="A617" s="104" t="str">
        <x:v>イオン</x:v>
      </x:c>
      <x:c r="B617" s="18" t="str">
        <x:v>原子や原子団が電子を失ったり受け取ったりして電気を帯びた粒子。電子を失うと陽イオン（よういおん）、受け取ると陰イオン（いんいおん）。原子核（げんしかく）の陽子（ようし）数は化学変化では変わらない。つながり：陽イオン／陰イオン／電子</x:v>
      </x:c>
    </x:row>
    <x:row r="618" ht="58" customHeight="1">
      <x:c r="A618" s="104" t="str">
        <x:v>陽イオン（よういおん）</x:v>
      </x:c>
      <x:c r="B618" s="18" t="str">
        <x:v>原子などが電子を失い、正の電気を帯びた粒子。Na⁺、H⁺、Cu²⁺、NH₄⁺など。右上の数字は電荷の大きさで、原子の個数ではない。つながり：電子放出／陰イオン（いんいおん）／電離（でんり）</x:v>
      </x:c>
    </x:row>
    <x:row r="619" ht="58" customHeight="1">
      <x:c r="A619" s="104" t="str">
        <x:v>陰イオン（いんいおん）</x:v>
      </x:c>
      <x:c r="B619" s="18" t="str">
        <x:v>原子などが電子を受け取り、負の電気を帯びた粒子。Cl⁻、OH⁻、SO₄²⁻など。マイナスは「電子が少ない」のではなく、陽子（ようし）より電子が多い状態。つながり：電子受容／陽イオン（よういおん）／電離（でんり）</x:v>
      </x:c>
    </x:row>
    <x:row r="620" ht="58" customHeight="1">
      <x:c r="A620" s="104" t="str">
        <x:v>原子がイオンになるときの電子</x:v>
      </x:c>
      <x:c r="B620" s="18" t="str">
        <x:v>ナトリウム原子は電子1個を失いNa⁺、塩素原子は電子1個を受け取りCl⁻。イオンになるのは電子の出入りであり、陽子（ようし）や中性子（ちゅうせいし）が移動するのではない。つながり：Na+／Cl-／電子移動</x:v>
      </x:c>
    </x:row>
    <x:row r="621" ht="58" customHeight="1">
      <x:c r="A621" s="104" t="str">
        <x:v>重要な陽イオン（よういおん）（一覧）</x:v>
      </x:c>
      <x:c r="B621" s="18" t="str">
        <x:v>1価はH⁺・Na⁺・K⁺・Ag⁺・NH₄⁺、2価はCu²⁺・Mg²⁺・Ca²⁺・Zn²⁺・Ba²⁺。名称と式を個別カードで覚えた後、電荷ごとに総復習する。つながり：陽イオン（よういおん）／電荷／電離（でんり）</x:v>
      </x:c>
    </x:row>
    <x:row r="622" ht="58" customHeight="1">
      <x:c r="A622" s="104" t="str">
        <x:v>重要な陰イオン（いんいおん）（一覧）</x:v>
      </x:c>
      <x:c r="B622" s="18" t="str">
        <x:v>塩化物イオンCl⁻、水酸化（さんか）物イオンOH⁻、硫酸イオンSO₄²⁻、硝酸イオンNO₃⁻、炭酸イオンCO₃²⁻。複数原子からなるものは原子団全体で1つのイオン。個別カード習得後の総復習に使う。つながり：電離（でんり）／アルカリ性／沈殿（ちんでん）</x:v>
      </x:c>
    </x:row>
    <x:row r="623" ht="58" customHeight="1">
      <x:c r="A623" s="104" t="str">
        <x:v>電解質（でんかいしつ）と非電解質（ひでんかいしつ）</x:v>
      </x:c>
      <x:c r="B623" s="18" t="str">
        <x:v>水に溶けたときイオンに分かれ、水溶液が電流を通す物質が電解質（でんかいしつ）。食塩・塩酸・水酸化（さんか）ナトリウムなど。砂糖やエタノールは溶けてもイオンにならず非電解質（ひでんかいしつ）。つながり：電離（でんり）／導電性／イオン</x:v>
      </x:c>
    </x:row>
    <x:row r="624" ht="58" customHeight="1">
      <x:c r="A624" s="104" t="str">
        <x:v>電離（でんり）</x:v>
      </x:c>
      <x:c r="B624" s="18" t="str">
        <x:v>電解質（でんかいしつ）が水に溶けて陽イオン（よういおん）と陰イオン（いんいおん）に分かれること。NaCl→Na⁺＋Cl⁻。水溶液全体では正負の電荷総量が等しく、電気的に中性。つながり：電解質／陽イオン／陰イオン</x:v>
      </x:c>
    </x:row>
    <x:row r="625" ht="58" customHeight="1">
      <x:c r="A625" s="104" t="str">
        <x:v>塩化水素の電離（でんり）</x:v>
      </x:c>
      <x:c r="B625" s="18" t="str">
        <x:v>塩化水素HClが水に溶けるとH⁺とCl⁻に電離（でんり）し、塩酸になる。HCl→H⁺＋Cl⁻。酸性の共通性は主にH⁺による。つながり：塩酸／水素イオン／酸性</x:v>
      </x:c>
    </x:row>
    <x:row r="626" ht="58" customHeight="1">
      <x:c r="A626" s="104" t="str">
        <x:v>水酸化（さんか）ナトリウムの電離（でんり）</x:v>
      </x:c>
      <x:c r="B626" s="18" t="str">
        <x:v>NaOH→Na⁺＋OH⁻。水酸化（さんか）ナトリウム水溶液はOH⁻を生じるためアルカリ性を示す。固体や濃い水溶液は強い腐食性があるので皮膚に付けない。つながり：水酸化物イオン／アルカリ性／中和（ちゅうわ）</x:v>
      </x:c>
    </x:row>
    <x:row r="627" ht="58" customHeight="1">
      <x:c r="A627" s="104" t="str">
        <x:v>硫酸の電離（でんり）</x:v>
      </x:c>
      <x:c r="B627" s="18" t="str">
        <x:v>H₂SO₄→2H⁺＋SO₄²⁻。硫酸1個分からH⁺が2個分生じることと、硫酸イオンの電荷が2−であることを対応させる。つながり：硫酸イオン／水素イオン／酸性</x:v>
      </x:c>
    </x:row>
    <x:row r="628" ht="58" customHeight="1">
      <x:c r="A628" s="104" t="str">
        <x:v>水酸化（さんか）カルシウムの電離（でんり）</x:v>
      </x:c>
      <x:c r="B628" s="18" t="str">
        <x:v>Ca(OH)₂→Ca²⁺＋2OH⁻。化学式中のかっこ外の2はOH全体が2組あることを示す。石灰水は水酸化（さんか）カルシウムの飽和水溶液（ほうわすいようえき）。つながり：水酸化物イオン／石灰水／アルカリ性</x:v>
      </x:c>
    </x:row>
    <x:row r="629" ht="58" customHeight="1">
      <x:c r="A629" s="104" t="str">
        <x:v>酸の共通性</x:v>
      </x:c>
      <x:c r="B629" s="18" t="str">
        <x:v>水溶液中でH⁺を生じ、青色リトマス紙を赤にし、BTBを黄色にする。多くはマグネシウムなどの金属と反応して水素を発生させる。酸性を示すのは水溶液中。つながり：水素イオン／指示薬／水素</x:v>
      </x:c>
    </x:row>
    <x:row r="630" ht="58" customHeight="1">
      <x:c r="A630" s="104" t="str">
        <x:v>アルカリの共通性</x:v>
      </x:c>
      <x:c r="B630" s="18" t="str">
        <x:v>水溶液中でOH⁻を生じ、赤色リトマス紙を青にし、BTBを青にする。手触りを直接確かめてはいけない。水に溶ける塩基をアルカリという。つながり：水酸化（さんか）物イオン／指示薬／中和（ちゅうわ）</x:v>
      </x:c>
    </x:row>
    <x:row r="631" ht="58" customHeight="1">
      <x:c r="A631" s="104" t="str">
        <x:v>酸性・アルカリ性と電流</x:v>
      </x:c>
      <x:c r="B631" s="18" t="str">
        <x:v>酸・アルカリの水溶液はイオンを含むため電流を通す。酸性・アルカリ性は色や味そのものではなく、H⁺・OH⁻など水溶液中の粒子に基づく性質。つながり：電解質（でんかいしつ）／水素イオン／水酸化（さんか）物イオン</x:v>
      </x:c>
    </x:row>
    <x:row r="632" ht="58" customHeight="1">
      <x:c r="A632" s="104" t="str">
        <x:v>紫色キャベツ液の色</x:v>
      </x:c>
      <x:c r="B632" s="18" t="str">
        <x:v>天然の指示薬で、強い酸性では赤〜桃色、中性付近で紫、アルカリ性では青〜緑〜黄系に変化する。厳密な色は濃度や作り方で変わるので、既知液と比較する。つながり：指示薬／pH／酸性</x:v>
      </x:c>
    </x:row>
    <x:row r="633" ht="58" customHeight="1">
      <x:c r="A633" s="104" t="str">
        <x:v>中和（ちゅうわ）</x:v>
      </x:c>
      <x:c r="B633" s="18" t="str">
        <x:v>酸のH⁺とアルカリのOH⁻が反応して水になる反応。H⁺＋OH⁻→H₂O。同時に、残った陽イオン（よういおん）と陰イオン（いんいおん）から塩ができる。通常は発熱する。つながり：水素イオン／水酸化（さんか）物イオン／塩</x:v>
      </x:c>
    </x:row>
    <x:row r="634" ht="58" customHeight="1">
      <x:c r="A634" s="104" t="str">
        <x:v>塩（化学）</x:v>
      </x:c>
      <x:c r="B634" s="18" t="str">
        <x:v>酸の陰イオン（いんいおん）とアルカリの陽イオン（よういおん）などからできる物質。塩酸と水酸化（さんか）ナトリウムでは塩化ナトリウム、硫酸と水酸化バリウムでは硫酸バリウムができる。「食塩」だけを指さない。つながり：中和（ちゅうわ）／塩化ナトリウム／硫酸バリウム</x:v>
      </x:c>
    </x:row>
    <x:row r="635" ht="58" customHeight="1">
      <x:c r="A635" s="104" t="str">
        <x:v>塩酸と水酸化（さんか）ナトリウムの中和（ちゅうわ）</x:v>
      </x:c>
      <x:c r="B635" s="18" t="str">
        <x:v>HCl＋NaOH→NaCl＋H₂O。イオンではH⁺＋OH⁻→H₂Oが実際の変化で、Na⁺とCl⁻は水溶液中に残る。水を蒸発させると食塩の結晶が得られる。つながり：中和（ちゅうわ）／塩化ナトリウム／イオン反応式</x:v>
      </x:c>
    </x:row>
    <x:row r="636" ht="58" customHeight="1">
      <x:c r="A636" s="104" t="str">
        <x:v>中和（ちゅうわ）と中性の違い</x:v>
      </x:c>
      <x:c r="B636" s="18" t="str">
        <x:v>中和（ちゅうわ）はH⁺とOH⁻が反応する現象で、途中でも起こる。中性はH⁺とOH⁻が過不足なくなった状態。酸やアルカリが余れば、中和が起きていても液は酸性またはアルカリ性。つながり：過不足／pH／中和点</x:v>
      </x:c>
    </x:row>
    <x:row r="637" ht="58" customHeight="1">
      <x:c r="A637" s="104" t="str">
        <x:v>中和（ちゅうわ）実験の操作</x:v>
      </x:c>
      <x:c r="B637" s="18" t="str">
        <x:v>一定量の酸へアルカリを少量ずつ加え、その都度よく混ぜ、指示薬の色やpHを調べる。こまごめピペットは先を液中へ入れたまま押し戻さず、試薬びんの液を汚染しない。つながり：指示薬／中和（ちゅうわ）点／滴下</x:v>
      </x:c>
    </x:row>
    <x:row r="638" ht="58" customHeight="1">
      <x:c r="A638" s="104" t="str">
        <x:v>中和（ちゅうわ）と温度変化</x:v>
      </x:c>
      <x:c r="B638" s="18" t="str">
        <x:v>酸とアルカリを混ぜると中和（ちゅうわ）熱が出て温度が上がる。過不足なく反応する量付近で温度上昇が最大になりやすいが、実験では外部への放熱があるため手早く測る。つながり：発熱反応（はつねつはんのう）／中和点／熱損失</x:v>
      </x:c>
    </x:row>
    <x:row r="639" ht="58" customHeight="1">
      <x:c r="A639" s="104" t="str">
        <x:v>中和（ちゅうわ）過程のイオン数</x:v>
      </x:c>
      <x:c r="B639" s="18" t="str">
        <x:v>塩酸へNaOH水溶液を加えると、H⁺はOH⁻と反応して減り、Na⁺は加えた分だけ増え、Cl⁻は一定。中和（ちゅうわ）点後は余ったOH⁻が増える。全体の電気的中性は常に保たれる。つながり：水素イオン／水酸化（さんか）物イオン／中和点</x:v>
      </x:c>
    </x:row>
    <x:row r="640" ht="58" customHeight="1">
      <x:c r="A640" s="104" t="str">
        <x:v>硫酸と水酸化（さんか）バリウムの反応</x:v>
      </x:c>
      <x:c r="B640" s="18" t="str">
        <x:v>H₂SO₄＋Ba(OH)₂→BaSO₄↓＋2H₂O。中和（ちゅうわ）で水ができると同時に、白色の硫酸バリウムが沈殿（ちんでん）する。過不足なく反応した点ではイオンが大きく減り、導電性も最小。つながり：中和／沈殿／硫酸バリウム</x:v>
      </x:c>
    </x:row>
    <x:row r="641" ht="58" customHeight="1">
      <x:c r="A641" s="104" t="str">
        <x:v>沈殿（ちんでん）</x:v>
      </x:c>
      <x:c r="B641" s="18" t="str">
        <x:v>水溶液中のイオン同士が結びつき、水に溶けにくい固体となって現れること。沈殿（ちんでん）は化学変化で、ろ過により液体から分けられる。色や組み合わせがイオン判定に使われる。つながり：イオン／ろ過／硫酸バリウム</x:v>
      </x:c>
    </x:row>
    <x:row r="642" ht="58" customHeight="1">
      <x:c r="A642" s="104" t="str">
        <x:v>塩化銅水溶液の電気分解</x:v>
      </x:c>
      <x:c r="B642" s="18" t="str">
        <x:v>炭素電極を用いる標準条件ではCuCl₂→Cu＋Cl₂。陰極（いんきょく）に銅、陽極（ようきょく）に有毒な塩素が生じ、青色はCu²⁺が減るほど薄くなる。少量を十分な換気下で扱い、塩素を直接かがない。つながり：銅イオン／塩化物イオン／電極</x:v>
      </x:c>
    </x:row>
    <x:row r="643" ht="58" customHeight="1">
      <x:c r="A643" s="104" t="str">
        <x:v>電気分解の陰極（いんきょく）</x:v>
      </x:c>
      <x:c r="B643" s="18" t="str">
        <x:v>電源の−極につながる電極。陽イオン（よういおん）が引かれ、電子を受け取る。塩化銅水溶液ではCu²⁺＋2e⁻→Cuとなり銅が析出（せきしゅつ）する。「陰極（いんきょく）＝陰イオン（いんいおん）が来る」は誤り。つながり：陽イオン／電子／銅析出</x:v>
      </x:c>
    </x:row>
    <x:row r="644" ht="58" customHeight="1">
      <x:c r="A644" s="104" t="str">
        <x:v>電気分解の陽極（ようきょく）</x:v>
      </x:c>
      <x:c r="B644" s="18" t="str">
        <x:v>電源の＋極につながる電極。陰イオン（いんいおん）が引かれ、電子を放出する。塩化銅水溶液では2Cl⁻→Cl₂＋2e⁻となり塩素が発生する。つながり：陰イオン／電子放出／塩素</x:v>
      </x:c>
    </x:row>
    <x:row r="645" ht="58" customHeight="1">
      <x:c r="A645" s="104" t="str">
        <x:v>塩酸の電気分解</x:v>
      </x:c>
      <x:c r="B645" s="18" t="str">
        <x:v>適切な濃度の塩酸を炭素電極で電気分解する学校実験では、2HCl→H₂＋Cl₂。陰極（いんきょく）でH⁺から水素、陽極（ようきょく）でCl⁻から塩素が生じる。換気し、塩素を直接かがない。つながり：水素イオン／塩化物イオン／電極</x:v>
      </x:c>
    </x:row>
    <x:row r="646" ht="58" customHeight="1">
      <x:c r="A646" s="104" t="str">
        <x:v>化学電池</x:v>
      </x:c>
      <x:c r="B646" s="18" t="str">
        <x:v>酸化（さんか）還元（かんげん）反応の化学エネルギーを電気エネルギーへ変える装置。中学で扱う基本的な金属電池では、2種類の金属などと電解質（でんかいしつ）水溶液を用い、イオンになりやすさの差で電子を流す。つながり：酸化還元／電解質／電子</x:v>
      </x:c>
    </x:row>
    <x:row r="647" ht="58" customHeight="1">
      <x:c r="A647" s="104" t="str">
        <x:v>亜鉛（あえん）板と銅板の基本電池</x:v>
      </x:c>
      <x:c r="B647" s="18" t="str">
        <x:v>うすい塩酸などに亜鉛（あえん）板と銅板を入れると、亜鉛はZn→Zn²⁺＋2e⁻となる。電子は亜鉛板（−極）から銅板（＋極）へ流れ、銅板側ではH⁺が電子を受け取って水素になる。つながり：亜鉛イオン／水素イオン／極性</x:v>
      </x:c>
    </x:row>
    <x:row r="648" ht="58" customHeight="1">
      <x:c r="A648" s="104" t="str">
        <x:v>電池内の電子と電流の向き</x:v>
      </x:c>
      <x:c r="B648" s="18" t="str">
        <x:v>外部回路の電子は−極から＋極へ流れ、電流の向きはその逆で＋極から−極。電解質（でんかいしつ）中ではイオンが移動して電荷の偏りを防ぎ、回路を成立させる。つながり：電子／電流／イオン移動</x:v>
      </x:c>
    </x:row>
    <x:row r="649" ht="58" customHeight="1">
      <x:c r="A649" s="104" t="str">
        <x:v>電池と電気分解の電極記号</x:v>
      </x:c>
      <x:c r="B649" s="18" t="str">
        <x:v>化学電池では電子を出す極が−極、受け取る側が＋極。電気分解では外部電源の−極につながるのが陰極（いんきょく）、＋極につながるのが陽極（ようきょく）。名称を機械的に同一視しない。つながり：陽極／陰極／化学電池</x:v>
      </x:c>
    </x:row>
    <x:row r="650" ht="58" customHeight="1">
      <x:c r="A650" s="104" t="str">
        <x:v>一次電池と二次電池</x:v>
      </x:c>
      <x:c r="B650" s="18" t="str">
        <x:v>一次電池は基本的に使い切り、二次電池は外部から電流を流して反応を逆向きに進め、充電して繰り返し使える。充電しても劣化は進み、エネルギーが無限に戻るわけではない。つながり：充電／化学反応／エネルギー変換</x:v>
      </x:c>
    </x:row>
    <x:row r="651" ht="58" customHeight="1">
      <x:c r="A651" s="104" t="str">
        <x:v>燃料電池</x:v>
      </x:c>
      <x:c r="B651" s="18" t="str">
        <x:v>水素と酸素を連続的に供給して反応させ、電気エネルギーを取り出す。全体では2H₂＋O₂→2H₂O。発電時の主生成物は水だが、水素の製造・輸送も含め環境影響を考える。つながり：水素／酸素／エネルギー変換</x:v>
      </x:c>
    </x:row>
    <x:row r="652" ht="58" customHeight="1">
      <x:c r="A652" s="104" t="str">
        <x:v>酸と金属の反応</x:v>
      </x:c>
      <x:c r="B652" s="18" t="str">
        <x:v>うすい塩酸や硫酸は、マグネシウム・亜鉛（あえん）・鉄などと反応して水素を発生させ、金属イオンを含む塩をつくる。銅はうすい塩酸とは通常反応しない。つながり：水素／金属イオン／塩</x:v>
      </x:c>
    </x:row>
    <x:row r="653" ht="58" customHeight="1">
      <x:c r="A653" s="104" t="str">
        <x:v>炭酸塩と酸の反応</x:v>
      </x:c>
      <x:c r="B653" s="18" t="str">
        <x:v>炭酸カルシウムや炭酸水素ナトリウムなどへ酸を加えると二酸化（さんか）炭素が発生する。発生気体は石灰水を白く濁らせて確認する。つながり：二酸化炭素／石灰水／炭酸カルシウム</x:v>
      </x:c>
    </x:row>
    <x:row r="654" ht="58" customHeight="1">
      <x:c r="A654" s="104" t="str">
        <x:v>アンモニウム塩とアルカリ</x:v>
      </x:c>
      <x:c r="B654" s="18" t="str">
        <x:v>塩化アンモニウムなどのアンモニウム塩へ強いアルカリを加えて加熱すると、刺激臭のアンモニアが発生する。NH₄⁺とOH⁻からNH₃とH₂Oができる。つながり：アンモニウムイオン／アンモニア／水酸化（さんか）物イオン</x:v>
      </x:c>
    </x:row>
    <x:row r="655" ht="58" customHeight="1">
      <x:c r="A655" s="104" t="str">
        <x:v>原子核（げんしかく）と電子</x:v>
      </x:c>
      <x:c r="B655" s="18" t="str">
        <x:v>原子は中心の非常に小さい原子核（げんしかく）と、その周囲にある電子からできる。原子核は陽子（ようし）と中性子（ちゅうせいし）からなり、原子の質量のほとんどが集まる。つながり：陽子／中性子／電子</x:v>
      </x:c>
    </x:row>
    <x:row r="656" ht="58" customHeight="1">
      <x:c r="A656" s="104" t="str">
        <x:v>陽子（ようし）と中性子（ちゅうせいし）</x:v>
      </x:c>
      <x:c r="B656" s="18" t="str">
        <x:v>どちらも原子核（げんしかく）をつくり、質量はほぼ同程度。陽子（ようし）は＋の電気をもち、中性子（ちゅうせいし）は電気をもたない。陽子数が元素の種類を決める。つながり：原子核／原子番号／同位体（どういたい）</x:v>
      </x:c>
    </x:row>
    <x:row r="657" ht="58" customHeight="1">
      <x:c r="A657" s="104" t="str">
        <x:v>電子</x:v>
      </x:c>
      <x:c r="B657" s="18" t="str">
        <x:v>−の電気をもつ非常に軽い粒子で、原子核（げんしかく）の周囲にある。化学変化やイオン形成では電子が移動するが、陽子（ようし）や中性子（ちゅうせいし）が原子間を移るわけではない。つながり：陰イオン（いんいおん）／陽イオン（よういおん）／電流</x:v>
      </x:c>
    </x:row>
    <x:row r="658" ht="58" customHeight="1">
      <x:c r="A658" s="104" t="str">
        <x:v>原子番号と中性原子</x:v>
      </x:c>
      <x:c r="B658" s="18" t="str">
        <x:v>原子番号は原子核（げんしかく）内の陽子（ようし）数で、元素ごとに決まる。電気的に中性な原子では陽子数＝電子数。イオンになっても陽子数は変わらず、電子数だけが変わる。つながり：陽子数／電子数／元素</x:v>
      </x:c>
    </x:row>
    <x:row r="659" ht="58" customHeight="1">
      <x:c r="A659" s="104" t="str">
        <x:v>同位体（どういたい）</x:v>
      </x:c>
      <x:c r="B659" s="18" t="str">
        <x:v>陽子（ようし）数が同じで中性子（ちゅうせいし）数が異なる、同じ元素の原子。同じ元素なので化学的性質はよく似るが、質量は異なる。同位体（どういたい）の中には放射線（ほうしゃせん）を出すものもある。つながり：陽子／中性子／放射性同位体</x:v>
      </x:c>
    </x:row>
    <x:row r="660" ht="58" customHeight="1">
      <x:c r="A660" s="104" t="str">
        <x:v>金属のイオンへのなりやすさ</x:v>
      </x:c>
      <x:c r="B660" s="18" t="str">
        <x:v>金属原子が電子を失って陽イオン（よういおん）になろうとする程度。なりやすい金属ほど電子を放出しやすく、他の金属イオンへ電子を渡してその金属を析出（せきしゅつ）させることがある。つながり：陽イオン／電子／金属の置換</x:v>
      </x:c>
    </x:row>
    <x:row r="661" ht="58" customHeight="1">
      <x:c r="A661" s="104" t="str">
        <x:v>Mg・Zn・Fe・Cu・Agのイオン化順</x:v>
      </x:c>
      <x:c r="B661" s="18" t="str">
        <x:v>中学でよく比べる範囲では、イオンになりやすい順にMg＞Zn＞Fe＞Cu＞Ag。左ほど電子を失いやすく、右側の金属イオンを含む水溶液から金属を析出（せきしゅつ）させやすい。つながり：マグネシウム／亜鉛（あえん）／銅イオン</x:v>
      </x:c>
    </x:row>
    <x:row r="662" ht="58" customHeight="1">
      <x:c r="A662" s="104" t="str">
        <x:v>金属と金属イオンの置換条件</x:v>
      </x:c>
      <x:c r="B662" s="18" t="str">
        <x:v>金属Aが金属Bよりイオンになりやすければ、AをBのイオンを含む水溶液へ入れると、Aは電子を失って溶け、Bのイオンは電子を受け取りBとして析出（せきしゅつ）する。逆の組合せでは起こらない。つながり：電子移動／酸化（さんか）還元（かんげん）／析出</x:v>
      </x:c>
    </x:row>
    <x:row r="663" ht="58" customHeight="1">
      <x:c r="A663" s="104" t="str">
        <x:v>亜鉛（あえん）と硫酸銅水溶液の反応</x:v>
      </x:c>
      <x:c r="B663" s="18" t="str">
        <x:v>Zn＋Cu²⁺→Zn²⁺＋Cu。亜鉛（あえん）は溶け、Cu²⁺は赤色の銅として付着し、青色が薄くなる。保護眼鏡を着け、付着時は水洗いし、銅を含む廃液は流さず指定容器へ回収する。つながり：金属の置換／銅イオン／酸化（さんか）還元（かんげん）</x:v>
      </x:c>
    </x:row>
    <x:row r="664" ht="58" customHeight="1">
      <x:c r="A664" s="104" t="str">
        <x:v>ダニエル電池のつくり</x:v>
      </x:c>
      <x:c r="B664" s="18" t="str">
        <x:v>亜鉛（あえん）板を硫酸亜鉛水溶液、銅板を硫酸銅水溶液へ入れ、溶液をイオンが通れる仕切りで分け、金属板を導線で結ぶ。亜鉛極が−、銅極が＋。つながり：亜鉛極／銅極／仕切り</x:v>
      </x:c>
    </x:row>
    <x:row r="665" ht="58" customHeight="1">
      <x:c r="A665" s="104" t="str">
        <x:v>ダニエル電池の亜鉛（あえん）極</x:v>
      </x:c>
      <x:c r="B665" s="18" t="str">
        <x:v>亜鉛（あえん）原子が電子を2個放出して亜鉛イオンになる。Zn→Zn²⁺＋2e⁻。亜鉛板は少しずつ溶け、電子を外部回路へ送り出す−極である。つながり：酸化（さんか）／負極／電子放出</x:v>
      </x:c>
    </x:row>
    <x:row r="666" ht="58" customHeight="1">
      <x:c r="A666" s="104" t="str">
        <x:v>ダニエル電池の銅極</x:v>
      </x:c>
      <x:c r="B666" s="18" t="str">
        <x:v>硫酸銅水溶液のCu²⁺が電子を2個受け取り、銅板上へ銅として析出（せきしゅつ）する。Cu²⁺＋2e⁻→Cu。外部回路から電子を受け取る＋極である。つながり：還元（かんげん）／正極／銅イオン</x:v>
      </x:c>
    </x:row>
    <x:row r="667" ht="58" customHeight="1">
      <x:c r="A667" s="104" t="str">
        <x:v>ダニエル電池の電子と電流</x:v>
      </x:c>
      <x:c r="B667" s="18" t="str">
        <x:v>外部回路の電子は亜鉛（あえん）極（−）から銅極（＋）へ流れ、電流の向きは逆に銅極から亜鉛極。溶液中を電子が横切るのではなく、イオンが動く。つながり：電子の向き／電流の向き／イオン移動</x:v>
      </x:c>
    </x:row>
    <x:row r="668" ht="58" customHeight="1">
      <x:c r="A668" s="104" t="str">
        <x:v>ダニエル電池の仕切りの役割</x:v>
      </x:c>
      <x:c r="B668" s="18" t="str">
        <x:v>2つの水溶液が急に混ざるのを抑えながら、イオンを通して電気的中性を保つ。亜鉛（あえん）側ではZn²⁺が増え、銅側ではCu²⁺が減るため、正負のイオンが移動して偏りを打ち消す。つながり：電気的中性／硫酸イオン／電解質（でんかいしつ）</x:v>
      </x:c>
    </x:row>
    <x:row r="669" ht="58" customHeight="1">
      <x:c r="A669" s="104" t="str">
        <x:v>ダニエル電池が電流を保ちやすい理由</x:v>
      </x:c>
      <x:c r="B669" s="18" t="str">
        <x:v>亜鉛（あえん）と銅イオンの反応を別々の電極で進め、Cu²⁺を銅として析出（せきしゅつ）させる。1種類の電解質（でんかいしつ）へ亜鉛板と銅板を入れる電池より銅板へ水素が付きにくく、仕切りが直接反応も抑える。つながり：分極／銅析出／仕切り</x:v>
      </x:c>
    </x:row>
    <x:row r="670" ht="58" customHeight="1">
      <x:c r="A670" s="104" t="str">
        <x:v>水素イオンのイオン式</x:v>
      </x:c>
      <x:c r="B670" s="18" t="str">
        <x:v>H⁺。水素原子が電子を1個失った1価の陽イオン（よういおん）で、酸性の水溶液に共通する。つながり：水素イオン／酸性／中和（ちゅうわ）</x:v>
      </x:c>
    </x:row>
    <x:row r="671" ht="58" customHeight="1">
      <x:c r="A671" s="104" t="str">
        <x:v>ナトリウムイオンのイオン式</x:v>
      </x:c>
      <x:c r="B671" s="18" t="str">
        <x:v>Na⁺。ナトリウム原子Naが電子を1個失ってできる1価の陽イオン（よういおん）。塩化ナトリウムの電離（でんり）で生じる。つながり：Na⁺／陽イオン／NaCl</x:v>
      </x:c>
    </x:row>
    <x:row r="672" ht="58" customHeight="1">
      <x:c r="A672" s="104" t="str">
        <x:v>カリウムイオンのイオン式</x:v>
      </x:c>
      <x:c r="B672" s="18" t="str">
        <x:v>K⁺。カリウム原子Kが電子を1個失ってできる1価の陽イオン（よういおん）。元素記号Kと電荷＋を組み合わせる。つながり：K⁺／陽イオン／電子</x:v>
      </x:c>
    </x:row>
    <x:row r="673" ht="58" customHeight="1">
      <x:c r="A673" s="104" t="str">
        <x:v>銀イオンのイオン式</x:v>
      </x:c>
      <x:c r="B673" s="18" t="str">
        <x:v>Ag⁺。銀原子Agが電子を1個失った1価の陽イオン（よういおん）。塩化物イオンCl⁻と塩化銀AgClの白色沈殿（ちんでん）をつくる。つながり：Ag⁺／AgCl／白色沈殿</x:v>
      </x:c>
    </x:row>
    <x:row r="674" ht="58" customHeight="1">
      <x:c r="A674" s="104" t="str">
        <x:v>銅イオンのイオン式</x:v>
      </x:c>
      <x:c r="B674" s="18" t="str">
        <x:v>Cu²⁺。中学で主に扱う銅イオンは2価の陽イオン（よういおん）で、硫酸銅水溶液の青色に関わる。CuとCu²⁺を区別する。つながり：Cu²⁺／硫酸銅／ダニエル電池</x:v>
      </x:c>
    </x:row>
    <x:row r="675" ht="58" customHeight="1">
      <x:c r="A675" s="104" t="str">
        <x:v>マグネシウムイオンのイオン式</x:v>
      </x:c>
      <x:c r="B675" s="18" t="str">
        <x:v>Mg²⁺。マグネシウム原子Mgが電子を2個失ってできる2価の陽イオン（よういおん）。右上の2は電荷を表す。つながり：Mg²⁺／陽イオン／電子</x:v>
      </x:c>
    </x:row>
    <x:row r="676" ht="58" customHeight="1">
      <x:c r="A676" s="104" t="str">
        <x:v>カルシウムイオンのイオン式</x:v>
      </x:c>
      <x:c r="B676" s="18" t="str">
        <x:v>Ca²⁺。カルシウム原子Caが電子を2個失ってできる2価の陽イオン（よういおん）。水酸化（さんか）カルシウムの電離（でんり）で生じる。つながり：Ca²⁺／陽イオン／水酸化カルシウム</x:v>
      </x:c>
    </x:row>
    <x:row r="677" ht="58" customHeight="1">
      <x:c r="A677" s="104" t="str">
        <x:v>アンモニウムイオンのイオン式</x:v>
      </x:c>
      <x:c r="B677" s="18" t="str">
        <x:v>NH₄⁺。窒素原子1個と水素原子4個からなる原子団全体が、＋1の電荷をもつ陽イオン（よういおん）。つながり：NH₄⁺／原子団／陽イオン</x:v>
      </x:c>
    </x:row>
    <x:row r="678" ht="58" customHeight="1">
      <x:c r="A678" s="104" t="str">
        <x:v>亜鉛（あえん）イオンのイオン式</x:v>
      </x:c>
      <x:c r="B678" s="18" t="str">
        <x:v>Zn²⁺。亜鉛（あえん）原子Znが電子を2個失ってできる。ダニエル電池の亜鉛極ではZn→Zn²⁺＋2e⁻となる。つながり：Zn²⁺／亜鉛極／酸化（さんか）</x:v>
      </x:c>
    </x:row>
    <x:row r="679" ht="58" customHeight="1">
      <x:c r="A679" s="104" t="str">
        <x:v>バリウムイオンのイオン式</x:v>
      </x:c>
      <x:c r="B679" s="18" t="str">
        <x:v>Ba²⁺。硫酸イオンSO₄²⁻と反応して、水に溶けにくい硫酸バリウムBaSO₄の白色沈殿（ちんでん）をつくる。つながり：Ba²⁺／BaSO₄／白色沈殿</x:v>
      </x:c>
    </x:row>
    <x:row r="680" ht="58" customHeight="1">
      <x:c r="A680" s="104" t="str">
        <x:v>塩化物イオンのイオン式</x:v>
      </x:c>
      <x:c r="B680" s="18" t="str">
        <x:v>Cl⁻。塩素原子Clが電子を1個受け取った1価の陰イオン（いんいおん）。銀イオンAg⁺と塩化銀AgClの白色沈殿（ちんでん）をつくる。つながり：Cl⁻／陰イオン／AgCl</x:v>
      </x:c>
    </x:row>
    <x:row r="681" ht="58" customHeight="1">
      <x:c r="A681" s="104" t="str">
        <x:v>水酸化（さんか）物イオンのイオン式</x:v>
      </x:c>
      <x:c r="B681" s="18" t="str">
        <x:v>OH⁻。酸素原子と水素原子からなる原子団全体が−1の電荷をもち、アルカリ性の水溶液に共通する。つながり：OH⁻／アルカリ性／中和（ちゅうわ）</x:v>
      </x:c>
    </x:row>
    <x:row r="682" ht="58" customHeight="1">
      <x:c r="A682" s="104" t="str">
        <x:v>硫酸イオンのイオン式</x:v>
      </x:c>
      <x:c r="B682" s="18" t="str">
        <x:v>SO₄²⁻。硫黄原子1個と酸素原子4個からなる原子団全体が−2の電荷をもつ。右下の4と右上の2を区別する。つながり：SO₄²⁻／原子団／硫酸</x:v>
      </x:c>
    </x:row>
    <x:row r="683" ht="58" customHeight="1">
      <x:c r="A683" s="104" t="str">
        <x:v>硝酸イオンのイオン式</x:v>
      </x:c>
      <x:c r="B683" s="18" t="str">
        <x:v>NO₃⁻。窒素原子1個と酸素原子3個からなる原子団全体が−1の電荷をもつ陰イオン（いんいおん）。つながり：NO₃⁻／原子団／陰イオン</x:v>
      </x:c>
    </x:row>
    <x:row r="684" ht="58" customHeight="1">
      <x:c r="A684" s="104" t="str">
        <x:v>炭酸イオンのイオン式</x:v>
      </x:c>
      <x:c r="B684" s="18" t="str">
        <x:v>CO₃²⁻。炭素原子1個と酸素原子3個からなる原子団全体が−2の電荷をもつ陰イオン（いんいおん）。つながり：CO₃²⁻／原子団／炭酸塩</x:v>
      </x:c>
    </x:row>
    <x:row r="685" ht="58" customHeight="1">
      <x:c r="A685" s="104" t="str">
        <x:v>落ち葉や死がいが減っていく理由</x:v>
      </x:c>
      <x:c r="B685" s="18" t="str">
        <x:v>落ち葉や死がいは、土の中の小動物に細かくされ、菌類や細菌類などの微生物に分解されるため、しだいに形が見えなくなる。分解された物質の一部は植物に再利用される。つながり：分解者（ぶんかいしゃ）／菌類／細菌類／物質循環</x:v>
      </x:c>
    </x:row>
    <x:row r="686" ht="58" customHeight="1">
      <x:c r="A686" s="104" t="str">
        <x:v>相同器官（そうどうきかん）</x:v>
      </x:c>
      <x:c r="B686" s="18" t="str">
        <x:v>基本的な骨格や起源が同じだが、生活に応じて形やはたらきが変化した器官。ヒトの腕・クジラの前あし・コウモリの翼などは、共通祖先からの進化を示す証拠になる。つながり：進化／共通祖先／化石／適応</x:v>
      </x:c>
    </x:row>
    <x:row r="687" ht="58" customHeight="1">
      <x:c r="A687" s="104" t="str">
        <x:v>進化</x:v>
      </x:c>
      <x:c r="B687" s="18" t="str">
        <x:v>生物の集団の遺伝（いでん）的な性質が、長い世代を通して変化すること。個体が必要に応じて一生の間に変身することではない。化石・相同器官（そうどうきかん）・DNAの比較などが証拠になる。つながり：遺伝／自然選択／化石／相同器官</x:v>
      </x:c>
    </x:row>
    <x:row r="688" ht="58" customHeight="1">
      <x:c r="A688" s="104" t="str">
        <x:v>水中から陸上への脊椎動物（せきついどうぶつ）の進化</x:v>
      </x:c>
      <x:c r="B688" s="18" t="str">
        <x:v>化石などから、魚類に近い共通祖先の系統から初期の四肢動物が分岐し、陸上生活への適応をもつ系統が多様化したと考えられる。乾燥に強い体表、肺、殻のある卵や体内受精（じゅせい）は陸上生活に有利だった。現生群が一直線に進歩したのではない。つながり：両生類／爬虫類／適応／化石</x:v>
      </x:c>
    </x:row>
    <x:row r="689" ht="58" customHeight="1">
      <x:c r="A689" s="104" t="str">
        <x:v>減数分裂（げんすうぶんれつ）</x:v>
      </x:c>
      <x:c r="B689" s="18" t="str">
        <x:v>生殖細胞がつくられるときに、染色体数が体細胞の半分になる特別な細胞分裂。受精（じゅせい）で精子と卵の染色体が合わさり、受精卵では元の数に戻るため、世代ごとに倍増しない。つながり：生殖細胞／染色体数／受精／体細胞分裂</x:v>
      </x:c>
    </x:row>
    <x:row r="690" ht="58" customHeight="1">
      <x:c r="A690" s="104" t="str">
        <x:v>体細胞分裂</x:v>
      </x:c>
      <x:c r="B690" s="18" t="str">
        <x:v>1個の体細胞が、染色体の数と遺伝（いでん）情報が基本的に同じ2個の娘細胞に分かれること。成長・傷の修復・無性生殖（むせいせいしょく）などに使われる。分裂前にDNAが複製される。つながり：染色体／DNA複製／成長／娘細胞</x:v>
      </x:c>
    </x:row>
    <x:row r="691" ht="58" customHeight="1">
      <x:c r="A691" s="104" t="str">
        <x:v>細胞分裂の観察に根の先端を使う理由</x:v>
      </x:c>
      <x:c r="B691" s="18" t="str">
        <x:v>根の先端近くには細胞分裂が盛んな成長点があるため。先端そのものの根冠は成長点を守る部分で、分裂像はその少し内側に多い。タマネギの根などを用いる。つながり：成長点／根冠／染色体／タマネギ</x:v>
      </x:c>
    </x:row>
    <x:row r="692" ht="58" customHeight="1">
      <x:c r="A692" s="104" t="str">
        <x:v>細胞分裂観察の処理</x:v>
      </x:c>
      <x:c r="B692" s="18" t="str">
        <x:v>保護眼鏡を着用し、うすい塩酸や染色液を皮膚・目に付けない。根端を塩酸で処理して細胞どうしを離れやすくし、染色後、カバーガラスを真上から押して細胞を一層に広げる。横へずらすと染色体が乱れる。つながり：塩酸処理／染色液／押しつぶし／根端</x:v>
      </x:c>
    </x:row>
    <x:row r="693" ht="58" customHeight="1">
      <x:c r="A693" s="104" t="str">
        <x:v>体細胞分裂の順序</x:v>
      </x:c>
      <x:c r="B693" s="18" t="str">
        <x:v>染色体が太く短く見える→中央に並ぶ→2つに分かれて両極へ移動→2個の核ができ、細胞質が分かれる。植物細胞では中央から細胞板ができ、動物細胞では外側からくびれる。つながり：染色体／赤道面／細胞板／娘細胞</x:v>
      </x:c>
    </x:row>
    <x:row r="694" ht="58" customHeight="1">
      <x:c r="A694" s="104" t="str">
        <x:v>生物が成長する仕組み</x:v>
      </x:c>
      <x:c r="B694" s="18" t="str">
        <x:v>体細胞分裂で細胞数が増え、その後それぞれの細胞が大きくなることで体が成長する。細胞が無限に大きくなるだけではない。植物では根や茎の成長点で分裂が盛ん。つながり：体細胞分裂／細胞数／成長点／細胞伸長</x:v>
      </x:c>
    </x:row>
    <x:row r="695" ht="58" customHeight="1">
      <x:c r="A695" s="104" t="str">
        <x:v>染色体・DNA・遺伝（いでん）子の関係</x:v>
      </x:c>
      <x:c r="B695" s="18" t="str">
        <x:v>染色体の主成分の一つがDNAで、DNA上の特定の情報単位が遺伝（いでん）子。遺伝子は形質に関わる情報をもつ。『染色体の中に細胞がある』など階層を逆にしない。つながり：染色体／DNA／遺伝子／形質</x:v>
      </x:c>
    </x:row>
    <x:row r="696" ht="58" customHeight="1">
      <x:c r="A696" s="104" t="str">
        <x:v>無性生殖（むせいせいしょく）</x:v>
      </x:c>
      <x:c r="B696" s="18" t="str">
        <x:v>雌雄の生殖細胞の受精（じゅせい）を伴わず、1個体から子ができる生殖。分裂・出芽・栄養生殖などがあり、子は親とほぼ同じ遺伝（いでん）情報をもつクローンになる。環境が急変すると一斉に不利になりうる。つながり：クローン／分裂／出芽／栄養生殖</x:v>
      </x:c>
    </x:row>
    <x:row r="697" ht="58" customHeight="1">
      <x:c r="A697" s="104" t="str">
        <x:v>分裂と出芽</x:v>
      </x:c>
      <x:c r="B697" s="18" t="str">
        <x:v>分裂は親個体がほぼ同じ大きさの複数個体に分かれる方法で、アメーバなど。出芽は親の体の一部がふくらんで新個体になる方法で、酵母やヒドラなど。どちらも無性生殖（むせいせいしょく）。つながり：無性生殖／アメーバ／酵母／ヒドラ</x:v>
      </x:c>
    </x:row>
    <x:row r="698" ht="58" customHeight="1">
      <x:c r="A698" s="104" t="str">
        <x:v>栄養生殖</x:v>
      </x:c>
      <x:c r="B698" s="18" t="str">
        <x:v>植物が根・茎・葉など栄養器官の一部から新個体をつくる無性生殖（むせいせいしょく）。ジャガイモの塊茎、イチゴのほふく茎、サツマイモの根など。種子を経ない。つながり：無性生殖／塊茎／ほふく茎／クローン</x:v>
      </x:c>
    </x:row>
    <x:row r="699" ht="58" customHeight="1">
      <x:c r="A699" s="104" t="str">
        <x:v>有性生殖（ゆうせいせいしょく）</x:v>
      </x:c>
      <x:c r="B699" s="18" t="str">
        <x:v>精子と卵など雌雄の生殖細胞が受精（じゅせい）し、新しい個体ができる生殖。両親から遺伝（いでん）情報を受け継ぐため、子に多様な組み合わせが生じる。つながり：精子／卵／受精／遺伝的多様性</x:v>
      </x:c>
    </x:row>
    <x:row r="700" ht="58" customHeight="1">
      <x:c r="A700" s="104" t="str">
        <x:v>生殖細胞と体細胞</x:v>
      </x:c>
      <x:c r="B700" s="18" t="str">
        <x:v>生殖細胞は精子・卵など次世代形成に関わる細胞で、染色体数は体細胞の半分。受精（じゅせい）で両者が合体すると、受精卵の染色体数はその生物本来の体細胞と同じになる。つながり：精子／卵／染色体数／受精卵</x:v>
      </x:c>
    </x:row>
    <x:row r="701" ht="58" customHeight="1">
      <x:c r="A701" s="104" t="str">
        <x:v>受精（じゅせい）と発生</x:v>
      </x:c>
      <x:c r="B701" s="18" t="str">
        <x:v>精子の核と卵の核が合体するのが受精（じゅせい）で、できた受精卵が細胞分裂を繰り返し、組織や器官をつくって個体になる過程が発生。受精卵は最初の1細胞である。つながり：受精卵／細胞分裂／胚／発生</x:v>
      </x:c>
    </x:row>
    <x:row r="702" ht="58" customHeight="1">
      <x:c r="A702" s="104" t="str">
        <x:v>花粉管と植物の受精（じゅせい）</x:v>
      </x:c>
      <x:c r="B702" s="18" t="str">
        <x:v>花粉が柱頭につくと花粉管が胚珠（はいしゅ）へ伸び、その中を雄の生殖細胞が移動する。胚珠内の卵細胞と受精（じゅせい）し、受精卵が胚へ、胚珠が種子へ発達する。つながり：花粉／柱頭／花粉管／胚珠</x:v>
      </x:c>
    </x:row>
    <x:row r="703" ht="58" customHeight="1">
      <x:c r="A703" s="104" t="str">
        <x:v>種子の中の胚</x:v>
      </x:c>
      <x:c r="B703" s="18" t="str">
        <x:v>受精（じゅせい）卵が分裂してできる次世代の植物体で、幼根・幼芽・子葉などを含む。子房（しぼう）は果実、胚珠（はいしゅ）は種子になるが、受精卵そのものが種子全体になるわけではない。つながり：受精卵／胚珠／種子／子葉</x:v>
      </x:c>
    </x:row>
    <x:row r="704" ht="58" customHeight="1">
      <x:c r="A704" s="104" t="str">
        <x:v>遺伝（いでん）と形質</x:v>
      </x:c>
      <x:c r="B704" s="18" t="str">
        <x:v>親の形質が子へ伝わる現象が遺伝（いでん）。生物の形や性質の特徴を形質という。形質は遺伝子だけでなく環境の影響も受けるため、同じ遺伝情報でも完全に同じになるとは限らない。つながり：形質／遺伝子／環境／DNA</x:v>
      </x:c>
    </x:row>
    <x:row r="705" ht="58" customHeight="1">
      <x:c r="A705" s="104" t="str">
        <x:v>対立形質</x:v>
      </x:c>
      <x:c r="B705" s="18" t="str">
        <x:v>同じ形質について、区別して比べる対になる現れ方。エンドウの種子の形が丸かしわか、など。単に反対語なら何でも対立形質というわけではない。後続の3:1などの比は、一方だけが現れる完全顕性（けんせい）を仮定する。つながり：形質／優性形質／劣性形質／エンドウ</x:v>
      </x:c>
    </x:row>
    <x:row r="706" ht="58" customHeight="1">
      <x:c r="A706" s="104" t="str">
        <x:v>顕性形質（けんせいけいしつ）と潜性形質（せんせいけいしつ）</x:v>
      </x:c>
      <x:c r="B706" s="18" t="str">
        <x:v>対立遺伝（いでん）子を1つずつもつ個体で現れる形質を顕性（けんせい）、現れない方を潜性（せんせい）という。旧称は優性・劣性。生存上『優れている・劣っている』という意味ではない。つながり：対立遺伝子／遺伝子型／表現型／メンデル</x:v>
      </x:c>
    </x:row>
    <x:row r="707" ht="58" customHeight="1">
      <x:c r="A707" s="104" t="str">
        <x:v>純系</x:v>
      </x:c>
      <x:c r="B707" s="18" t="str">
        <x:v>自家受精（じゅせい）などを何代繰り返しても同じ形質の子だけを生じる系統。ある形質について同じ対立遺伝（いでん）子を2つもつ。メンデルは純系どうしを交配して規則性を調べた。つながり：自家受精／対立遺伝子／メンデル／交配</x:v>
      </x:c>
    </x:row>
    <x:row r="708" ht="58" customHeight="1">
      <x:c r="A708" s="104" t="str">
        <x:v>分離の法則</x:v>
      </x:c>
      <x:c r="B708" s="18" t="str">
        <x:v>対になっている対立遺伝（いでん）子は、生殖細胞ができるときに分かれ、各生殖細胞には一方だけが入る。受精（じゅせい）で再び対になる。子の比を求める土台。つながり：対立遺伝子／生殖細胞／受精／遺伝子型</x:v>
      </x:c>
    </x:row>
    <x:row r="709" ht="58" customHeight="1">
      <x:c r="A709" s="104" t="str">
        <x:v>一遺伝（いでん）子雑種のF1</x:v>
      </x:c>
      <x:c r="B709" s="18" t="str">
        <x:v>純系AAと純系aaを交配すると、F1はすべてAaとなり顕性形質（けんせいけいしつ）を示す。『顕性（けんせい）遺伝（いでん）子だけを受け継ぐ』のではなく、潜性（せんせい）のaももっている。つながり：純系／F1／顕性形質／遺伝子型</x:v>
      </x:c>
    </x:row>
    <x:row r="710" ht="58" customHeight="1">
      <x:c r="A710" s="104" t="str">
        <x:v>F2の遺伝（いでん）子型と表現型の比</x:v>
      </x:c>
      <x:c r="B710" s="18" t="str">
        <x:v>F1どうしAa×Aaでは、遺伝（いでん）子型AA:Aa:aa＝1:2:1、完全顕性（けんせい）なら表現型は顕性:潜性（せんせい）＝3:1。個体数が少ない実験では実測値が厳密な比からずれる。つながり：F2／遺伝子型／表現型／分離の法則</x:v>
      </x:c>
    </x:row>
    <x:row r="711" ht="58" customHeight="1">
      <x:c r="A711" s="104" t="str">
        <x:v>検定交雑（けんていこうざつ）の考え方</x:v>
      </x:c>
      <x:c r="B711" s="18" t="str">
        <x:v>顕性形質（けんせいけいしつ）の個体がAAかAaか調べるには、潜性（せんせい）のaaと交配する。子に潜性形質（せんせいけいしつ）が現れれば親はAa。すべて顕性（けんせい）でも、子の数が少ない場合はAAと断定しきれない。つながり：顕性形質／潜性形質／遺伝（いでん）子型／交配</x:v>
      </x:c>
    </x:row>
    <x:row r="712" ht="58" customHeight="1">
      <x:c r="A712" s="104" t="str">
        <x:v>遺伝（いでん）の確率問題</x:v>
      </x:c>
      <x:c r="B712" s="18" t="str">
        <x:v>各子がある形質になる確率は、通常それぞれ独立に考える。確率1/4だから4匹産まれれば必ず1匹という意味ではない。配偶子の組み合わせ表を作ると整理しやすい。つながり：確率／分離の法則／配偶子／組み合わせ表</x:v>
      </x:c>
    </x:row>
    <x:row r="713" ht="58" customHeight="1">
      <x:c r="A713" s="104" t="str">
        <x:v>有性生殖（ゆうせいせいしょく）が多様性を生む理由</x:v>
      </x:c>
      <x:c r="B713" s="18" t="str">
        <x:v>両親由来の遺伝（いでん）子が生殖細胞形成と受精（じゅせい）で組み合わされ、子ごとに異なる組み合わせが生じるため。環境変化に強い個体を含む可能性が増え、集団の存続に有利になりうる。つながり：有性生殖（ゆうせいせいしょく）／遺伝的多様性／受精／自然選択</x:v>
      </x:c>
    </x:row>
    <x:row r="714" ht="58" customHeight="1">
      <x:c r="A714" s="104" t="str">
        <x:v>生態系</x:v>
      </x:c>
      <x:c r="B714" s="18" t="str">
        <x:v>ある地域の生物群集と、それを取り巻く光・水・空気・土などの非生物的環境を一つのまとまりとして捉えたもの。生物だけを指す語ではない。つながり：生物群集／環境／食物網／物質循環</x:v>
      </x:c>
    </x:row>
    <x:row r="715" ht="58" customHeight="1">
      <x:c r="A715" s="104" t="str">
        <x:v>生産者</x:v>
      </x:c>
      <x:c r="B715" s="18" t="str">
        <x:v>光合成によって無機物から有機物をつくる生物。陸上の植物や水中の植物プランクトンなど。食物連鎖のエネルギーの入口になる。つながり：光合成／植物／有機物／消費者</x:v>
      </x:c>
    </x:row>
    <x:row r="716" ht="58" customHeight="1">
      <x:c r="A716" s="104" t="str">
        <x:v>消費者</x:v>
      </x:c>
      <x:c r="B716" s="18" t="str">
        <x:v>他の生物やその一部を食べて有機物を得る生物。草食・肉食・雑食動物などを含む。『消費者＝肉食動物』ではなく、生産者を食べる一次消費者もいる。つながり：生産者／一次消費者／食物連鎖／有機物</x:v>
      </x:c>
    </x:row>
    <x:row r="717" ht="58" customHeight="1">
      <x:c r="A717" s="104" t="str">
        <x:v>分解者（ぶんかいしゃ）</x:v>
      </x:c>
      <x:c r="B717" s="18" t="str">
        <x:v>生物の死がいや排出物に含まれる有機物を無機物へ分解する菌類・細菌類など。呼吸によってエネルギーを得ながら、物質を環境へ戻す。食物網の外にいるわけではない。つながり：菌類／細菌類／無機物／物質循環</x:v>
      </x:c>
    </x:row>
    <x:row r="718" ht="58" customHeight="1">
      <x:c r="A718" s="104" t="str">
        <x:v>食物連鎖と食物網</x:v>
      </x:c>
      <x:c r="B718" s="18" t="str">
        <x:v>食べる・食べられる一列のつながりが食物連鎖、複数の連鎖が網状に結びついたものが食物網。矢印は多くの場合、食べられる生物から食べる生物へ、物質・エネルギーの移動方向に引く。つながり：生産者／消費者／エネルギー／捕食</x:v>
      </x:c>
    </x:row>
    <x:row r="719" ht="58" customHeight="1">
      <x:c r="A719" s="104" t="str">
        <x:v>栄養段階が上がると個体数が減りやすい理由</x:v>
      </x:c>
      <x:c r="B719" s="18" t="str">
        <x:v>生物が得たエネルギーの多くは呼吸・運動・熱などに使われ、次の栄養段階へ渡るのは一部だけだから。必ず個体数が減るとは限らないので、総量・生物量で考えることも重要。つながり：栄養段階／エネルギー流／生物量／食物連鎖</x:v>
      </x:c>
    </x:row>
    <x:row r="720" ht="58" customHeight="1">
      <x:c r="A720" s="104" t="str">
        <x:v>生態ピラミッド</x:v>
      </x:c>
      <x:c r="B720" s="18" t="str">
        <x:v>生産者から高次消費者へ、個体数・生物量・エネルギー量などを積み上げた図。何の量を表すかを確認する。個体数ピラミッドは大木1本に昆虫多数のような逆転もありうる。つながり：生物量／エネルギー量／栄養段階／生産者</x:v>
      </x:c>
    </x:row>
    <x:row r="721" ht="58" customHeight="1">
      <x:c r="A721" s="104" t="str">
        <x:v>炭素の循環</x:v>
      </x:c>
      <x:c r="B721" s="18" t="str">
        <x:v>植物が光合成で二酸化（さんか）炭素を有機物に取り込み、食物連鎖で移動する。生物の呼吸・分解・燃焼により二酸化炭素として環境へ戻る。物質は循環する。つながり：光合成／呼吸／分解／燃焼</x:v>
      </x:c>
    </x:row>
    <x:row r="722" ht="58" customHeight="1">
      <x:c r="A722" s="104" t="str">
        <x:v>物質循環とエネルギー流の違い</x:v>
      </x:c>
      <x:c r="B722" s="18" t="str">
        <x:v>炭素などの物質は生産者・消費者・分解者（ぶんかいしゃ）と環境の間を循環する。一方、エネルギーは太陽から入り、各段階で熱として失われ、一方向に流れるため循環しない。つながり：物質循環／太陽エネルギー／熱／生態系</x:v>
      </x:c>
    </x:row>
    <x:row r="723" ht="58" customHeight="1">
      <x:c r="A723" s="104" t="str">
        <x:v>生物数のつり合い</x:v>
      </x:c>
      <x:c r="B723" s="18" t="str">
        <x:v>捕食者が増えると被食者が減り、やがて餌不足で捕食者も減るなど、相互作用によって変動する。一定数で固定されるのではなく、時間とともに増減しながら範囲内に保たれる。つながり：捕食者／被食者／個体群／食物網</x:v>
      </x:c>
    </x:row>
    <x:row r="724" ht="58" customHeight="1">
      <x:c r="A724" s="104" t="str">
        <x:v>外来種</x:v>
      </x:c>
      <x:c r="B724" s="18" t="str">
        <x:v>本来の分布域の外へ人間活動によって持ち込まれた生物。すべてが有害ではないが、在来種を捕食・競争したり交雑したりして生態系へ大きな影響を与えるものがある。つながり：在来種／生物多様性／競争／生態系</x:v>
      </x:c>
    </x:row>
    <x:row r="725" ht="58" customHeight="1">
      <x:c r="A725" s="104" t="str">
        <x:v>生物多様性</x:v>
      </x:c>
      <x:c r="B725" s="18" t="str">
        <x:v>遺伝（いでん）子・種・生態系の各段階に多様性があること。食料・医薬品・水質浄化などの基盤にもなる。単に『生物の種類数が多い』だけより広い概念。つながり：遺伝的多様性／種多様性／生態系多様性／保全</x:v>
      </x:c>
    </x:row>
    <x:row r="726" ht="58" customHeight="1">
      <x:c r="A726" s="104" t="str">
        <x:v>方形区法（ほうけいくほう）</x:v>
      </x:c>
      <x:c r="B726" s="18" t="str">
        <x:v>一定面積の方形枠を複数地点に置き、枠内の植物などの個体数・被度（ひど）・頻度（ひんど）を調べて全体を推定する方法。調査地点を無作為または偏りなく選び、十分な数を調べる。つながり：個体数／被度／頻度／標本調査</x:v>
      </x:c>
    </x:row>
    <x:row r="727" ht="58" customHeight="1">
      <x:c r="A727" s="104" t="str">
        <x:v>指標生物</x:v>
      </x:c>
      <x:c r="B727" s="18" t="str">
        <x:v>特定の環境条件に敏感なため、その生息状況から水質などを推定できる生物。1種類だけで断定せず、複数種や物理・化学的測定も合わせて判断する。つながり：水質／環境調査／生息条件／生物多様性</x:v>
      </x:c>
    </x:row>
    <x:row r="728" ht="58" customHeight="1">
      <x:c r="A728" s="104" t="str">
        <x:v>富栄養化と水の汚れ</x:v>
      </x:c>
      <x:c r="B728" s="18" t="str">
        <x:v>窒素・リンを含む排水が湖沼などへ増えると藻類が大量増殖し、死後の分解で酸素が消費され、魚介類が死ぬことがある。栄養が多いほど常に生態系に良いわけではない。つながり：窒素／リン／藻類／溶存酸素</x:v>
      </x:c>
    </x:row>
    <x:row r="729" ht="58" customHeight="1">
      <x:c r="A729" s="104" t="str">
        <x:v>持続可能な利用</x:v>
      </x:c>
      <x:c r="B729" s="18" t="str">
        <x:v>将来世代が利用できる環境や資源を損なわず、現在の必要も満たす考え方。保護区・資源管理・再生可能資源の利用・廃棄物削減などを、社会や経済と両立させる。つながり：生物多様性／資源循環／保全／生態系サービス</x:v>
      </x:c>
    </x:row>
    <x:row r="730" ht="58" customHeight="1">
      <x:c r="A730" s="104" t="str">
        <x:v>季節で見える星座が変わる理由</x:v>
      </x:c>
      <x:c r="B730" s="18" t="str">
        <x:v>地球が太陽の周りを公転すると、夜に地球から見える宇宙の方向が季節ごとに変わるため。同じ時刻に見える星座は、日ごとに少しずつ西へ移る。つながり：地球の公転／年周運動（ねんしゅううんどう）／星座／季節</x:v>
      </x:c>
    </x:row>
    <x:row r="731" ht="58" customHeight="1">
      <x:c r="A731" s="104" t="str">
        <x:v>天球</x:v>
      </x:c>
      <x:c r="B731" s="18" t="str">
        <x:v>観測者を中心とする巨大な球面に、天体が投影されているとみなす考え方。実際に星が同じ距離の球面上にあるわけではない。位置や日周運動（にっしゅううんどう）を方位・高度で表すためのモデル。つながり：観測者／方位／高度／日周運動</x:v>
      </x:c>
    </x:row>
    <x:row r="732" ht="58" customHeight="1">
      <x:c r="A732" s="104" t="str">
        <x:v>方位と高度</x:v>
      </x:c>
      <x:c r="B732" s="18" t="str">
        <x:v>方位は地平線上の東西南北などの方向、高度は地平線から天体までの角度で、地平線が0°、天頂が90°。同じ星でも時刻・観測地点が変わると値が変わる。角度で表す方位角は、採用する基準方向を確認して読む。つながり：天球／地平線／天頂／天体位置</x:v>
      </x:c>
    </x:row>
    <x:row r="733" ht="58" customHeight="1">
      <x:c r="A733" s="104" t="str">
        <x:v>天体の日周運動（にっしゅううんどう）</x:v>
      </x:c>
      <x:c r="B733" s="18" t="str">
        <x:v>太陽・月・星が1日に東から西へ動いて見える現象。地球が西から東へ約24時間で自転するため、天球が反対向きに回るように見える見かけの運動。つながり：地球の自転／東／西／見かけの運動</x:v>
      </x:c>
    </x:row>
    <x:row r="734" ht="58" customHeight="1">
      <x:c r="A734" s="104" t="str">
        <x:v>地球の自転速度と天体の角度</x:v>
      </x:c>
      <x:c r="B734" s="18" t="str">
        <x:v>地球は約24時間で360°自転するので、天体の日周運動（にっしゅううんどう）は1時間に約15°。星の軌跡が30°なら露出時間は約2時間と見積もれる。月や太陽固有の運動による小差は別。つながり：自転／360度／日周運動／時間</x:v>
      </x:c>
    </x:row>
    <x:row r="735" ht="58" customHeight="1">
      <x:c r="A735" s="104" t="str">
        <x:v>北の空の星の動き</x:v>
      </x:c>
      <x:c r="B735" s="18" t="str">
        <x:v>北極星付近を中心に、時間とともに反時計回りに回って見える。北極星は天の北極に近いためほとんど動かない。写真の円弧の中心から北の方向を判断できる。つながり：北極星／天の北極／反時計回り／星の軌跡</x:v>
      </x:c>
    </x:row>
    <x:row r="736" ht="58" customHeight="1">
      <x:c r="A736" s="104" t="str">
        <x:v>南の空の星の動き</x:v>
      </x:c>
      <x:c r="B736" s="18" t="str">
        <x:v>東側から昇り、南の空で最も高くなり、西側へ沈む。南を向いた図では左が東、右が西になり、星は左から右へ動く。方位と紙面の左右を確認する。つながり：南中／東／西／日周運動（にっしゅううんどう）</x:v>
      </x:c>
    </x:row>
    <x:row r="737" ht="58" customHeight="1">
      <x:c r="A737" s="104" t="str">
        <x:v>東西の空の星の軌跡</x:v>
      </x:c>
      <x:c r="B737" s="18" t="str">
        <x:v>東の空では天体は右上がりに昇り、西の空では右下がりに沈むように見える（日本で各方位を正面に見た典型図）。軌跡の傾きは観測緯度で変わる。つながり：東の空／西の空／自転／緯度</x:v>
      </x:c>
    </x:row>
    <x:row r="738" ht="58" customHeight="1">
      <x:c r="A738" s="104" t="str">
        <x:v>北極星の高度と緯度</x:v>
      </x:c>
      <x:c r="B738" s="18" t="str">
        <x:v>北半球では北極星の高度は観測地点の北緯とほぼ等しい。北へ行くほど高く、赤道では地平線付近、北極では天頂付近。経度ではなく緯度を求める手がかり。つながり：北極星／北緯／高度／天の北極</x:v>
      </x:c>
    </x:row>
    <x:row r="739" ht="58" customHeight="1">
      <x:c r="A739" s="104" t="str">
        <x:v>星の年周運動（ねんしゅううんどう）</x:v>
      </x:c>
      <x:c r="B739" s="18" t="str">
        <x:v>同じ時刻に星座を観察すると、日ごとに約1°、1か月で約30°西へ移って見える。地球の公転により、夜に向く宇宙の方向が変わるため。約1年で元に戻る。つながり：地球の公転／星座／1か月30度／季節</x:v>
      </x:c>
    </x:row>
    <x:row r="740" ht="58" customHeight="1">
      <x:c r="A740" s="104" t="str">
        <x:v>星を同じ位置で見る時刻のずれ</x:v>
      </x:c>
      <x:c r="B740" s="18" t="str">
        <x:v>星は翌日、同じ位置に約4分早く現れる。1か月なら約2時間早い。同じ時刻で見れば西へ、同じ位置で見れば早い時刻へずれるという二つの表現を結びつける。つながり：年周運動（ねんしゅううんどう）／4分／観測時刻／星座</x:v>
      </x:c>
    </x:row>
    <x:row r="741" ht="58" customHeight="1">
      <x:c r="A741" s="104" t="str">
        <x:v>地球の公転</x:v>
      </x:c>
      <x:c r="B741" s="18" t="str">
        <x:v>地球が太陽の周りを約1年で西から東へ回る運動。北極側から見ると反時計回り。地軸は公転面に垂直な方向から約23.4°傾き、ほぼ同じ方向を向いたまま公転する。つながり：公転周期／地軸／季節／年周運動（ねんしゅううんどう）</x:v>
      </x:c>
    </x:row>
    <x:row r="742" ht="58" customHeight="1">
      <x:c r="A742" s="104" t="str">
        <x:v>季節が生じる理由</x:v>
      </x:c>
      <x:c r="B742" s="18" t="str">
        <x:v>地軸が公転面に垂直な方向から傾いたまま地球が公転するため、太陽の南中高度（なんちゅうこうど）と昼の長さが季節で変わり、単位面積が受ける日射量が変化する。太陽との距離変化が主因ではない。つながり：地軸の傾き／南中高度／昼の長さ／日射量</x:v>
      </x:c>
    </x:row>
    <x:row r="743" ht="58" customHeight="1">
      <x:c r="A743" s="104" t="str">
        <x:v>春分・秋分</x:v>
      </x:c>
      <x:c r="B743" s="18" t="str">
        <x:v>太陽が真東付近から昇り真西付近に沈み、昼夜の長さがほぼ等しい日。太陽の赤緯が0°で、北半球では南中高度（なんちゅうこうど）＝90°－緯度。実際の昼は大気差などで少し長い。つながり：春分／秋分／真東／南中高度</x:v>
      </x:c>
    </x:row>
    <x:row r="744" ht="58" customHeight="1">
      <x:c r="A744" s="104" t="str">
        <x:v>夏至（げし）と冬至（とうじ）</x:v>
      </x:c>
      <x:c r="B744" s="18" t="str">
        <x:v>日本の大部分など北半球中緯度では、夏至に南中高度（なんちゅうこうど）が最も高く昼が最長で、太陽は真東より北寄りから昇り真西より北寄りへ沈む。冬至は南中高度が最も低く昼が最短で、南寄りから昇り南寄りへ沈む。つながり：夏至／冬至／昼の長さ／日の出方位</x:v>
      </x:c>
    </x:row>
    <x:row r="745" ht="58" customHeight="1">
      <x:c r="A745" s="104" t="str">
        <x:v>太陽の南中高度（なんちゅうこうど）の計算</x:v>
      </x:c>
      <x:c r="B745" s="18" t="str">
        <x:v>日本の大部分など北緯φが23.4°以上の北半球中緯度では、春分・秋分は90°－φ、夏至は90°－φ＋23.4°、冬至は90°－φ－23.4°。一般には太陽の赤緯δを使い、南中時の高度を90°－|φ－δ|で求める。つながり：緯度／夏至／冬至／地軸の傾き</x:v>
      </x:c>
    </x:row>
    <x:row r="746" ht="58" customHeight="1">
      <x:c r="A746" s="104" t="str">
        <x:v>南中高度（なんちゅうこうど）と地面の受熱</x:v>
      </x:c>
      <x:c r="B746" s="18" t="str">
        <x:v>太陽高度が高いほど同じ光が狭い面積に集中し、地面が強く暖まりやすい。高度が低いと広い面積に分散し大気中の通過距離も長い。気温の最高は夏至より遅れる。つながり：日射量／太陽高度／季節／気温</x:v>
      </x:c>
    </x:row>
    <x:row r="747" ht="58" customHeight="1">
      <x:c r="A747" s="104" t="str">
        <x:v>棒の影から方位と季節を読む</x:v>
      </x:c>
      <x:c r="B747" s="18" t="str">
        <x:v>水平な地面では影は太陽と反対方向。日本の大部分など北回帰線より北では、南中時の太陽は南にあり影が北を向く。太陽高度が高いほど影は短く、同じ棒なら正午頃の影は夏に短く冬に長い。つながり：影／南中／太陽高度／方位</x:v>
      </x:c>
    </x:row>
    <x:row r="748" ht="58" customHeight="1">
      <x:c r="A748" s="104" t="str">
        <x:v>太陽の構造とエネルギー</x:v>
      </x:c>
      <x:c r="B748" s="18" t="str">
        <x:v>太陽は主に水素・ヘリウムからなる恒星（こうせい）。中心部の核融合で水素からヘリウムができ、その際のエネルギーが光や熱として放出される。燃焼のように酸素で燃えているわけではない。つながり：恒星／核融合／水素／ヘリウム</x:v>
      </x:c>
    </x:row>
    <x:row r="749" ht="58" customHeight="1">
      <x:c r="A749" s="104" t="str">
        <x:v>黒点</x:v>
      </x:c>
      <x:c r="B749" s="18" t="str">
        <x:v>太陽表面で周囲より温度が低いため暗く見える部分。日ごとの位置変化から太陽が自転していると分かる。中央付近では円形、縁ではつぶれて見え、太陽表面にある証拠になる。つながり：太陽の自転／表面温度／黒点移動／投影法</x:v>
      </x:c>
    </x:row>
    <x:row r="750" ht="58" customHeight="1">
      <x:c r="A750" s="104" t="str">
        <x:v>新月・上弦・満月・下弦の位置</x:v>
      </x:c>
      <x:c r="B750" s="18" t="str">
        <x:v>新月は月が太陽とほぼ同方向、満月は太陽と反対方向。上弦・下弦は地球から見て太陽方向と約90°。月の照らされた側は常に太陽を向く。つながり：新月／上弦の月／満月／下弦の月</x:v>
      </x:c>
    </x:row>
    <x:row r="751" ht="58" customHeight="1">
      <x:c r="A751" s="104" t="str">
        <x:v>四つの月相の出・南中時刻</x:v>
      </x:c>
      <x:c r="B751" s="18" t="str">
        <x:v>新月は太陽とほぼ同時に昇り昼ごろ南中するが、太陽と同方向なので通常は見えない。満月は日没ごろ昇り真夜中ごろ南中、上弦は正午ごろ昇り日没ごろ南中、下弦は真夜中ごろ昇り日の出ごろ南中する。つながり：月の出／南中／月の入り／満ち欠け</x:v>
      </x:c>
    </x:row>
    <x:row r="752" ht="58" customHeight="1">
      <x:c r="A752" s="104" t="str">
        <x:v>月が毎日遅れて見える理由</x:v>
      </x:c>
      <x:c r="B752" s="18" t="str">
        <x:v>月が地球の周りを西から東へ公転し、1日に星空に対して約13°東へ移動するため、地球が余分に自転する必要がある。月の出・南中・月の入りは平均約50分ずつ遅くなる。つながり：月の公転／13度／50分／南中時刻</x:v>
      </x:c>
    </x:row>
    <x:row r="753" ht="58" customHeight="1">
      <x:c r="A753" s="104" t="str">
        <x:v>月の自転と公転</x:v>
      </x:c>
      <x:c r="B753" s="18" t="str">
        <x:v>月は星空に対して約27.3日で地球を公転し、自転周期もほぼ同じため、地球にはほぼ同じ面を向け続ける。地球も太陽の周りを進むので、満ち欠けが同じ形へ戻る周期は約29.5日。月が自転していないなら、公転中に違う面が見えるはずである。つながり：同期回転／公転周期／満ち欠け／月の裏側</x:v>
      </x:c>
    </x:row>
    <x:row r="754" ht="58" customHeight="1">
      <x:c r="A754" s="104" t="str">
        <x:v>日食（にっしょく）</x:v>
      </x:c>
      <x:c r="B754" s="18" t="str">
        <x:v>新月のころ、太陽・月・地球がほぼ一直線に並び、月が太陽を隠す現象。月の影が地球上の限られた範囲を通るため、毎月どこでも見られるわけではない。観察には専用遮光具が必要。つながり：新月／月の影／皆既日食（にっしょく）／太陽観察</x:v>
      </x:c>
    </x:row>
    <x:row r="755" ht="58" customHeight="1">
      <x:c r="A755" s="104" t="str">
        <x:v>月食（げっしょく）</x:v>
      </x:c>
      <x:c r="B755" s="18" t="str">
        <x:v>満月のころ、太陽・地球・月がほぼ一直線に並び、月が地球の影に入る現象。地球の大気で屈折（くっせつ）した赤い光が届き、皆既月食（げっしょく）中に赤銅色に見えることがある。つながり：満月／地球の影／皆既月食／太陽光</x:v>
      </x:c>
    </x:row>
    <x:row r="756" ht="58" customHeight="1">
      <x:c r="A756" s="104" t="str">
        <x:v>日食（にっしょく）・月食（げっしょく）が毎月起こらない理由</x:v>
      </x:c>
      <x:c r="B756" s="18" t="str">
        <x:v>月の公転面が地球の公転面に対して約5°傾いており、新月や満月でも多くは一直線に並ばず影が外れるため。二つの公転面の交線付近で条件がそろうと起こる。つながり：月の公転面／黄道面／新月／満月</x:v>
      </x:c>
    </x:row>
    <x:row r="757" ht="58" customHeight="1">
      <x:c r="A757" s="104" t="str">
        <x:v>太陽系の惑星（わくせい）の順序</x:v>
      </x:c>
      <x:c r="B757" s="18" t="str">
        <x:v>太陽に近い順に水星・金星・地球・火星・木星・土星・天王星・海王星。惑星（わくせい）は太陽の周りをほぼ同一平面上で同じ向きに公転する。冥王星は準惑星。つながり：水星／地球型惑星／木星型惑星／準惑星</x:v>
      </x:c>
    </x:row>
    <x:row r="758" ht="58" customHeight="1">
      <x:c r="A758" s="104" t="str">
        <x:v>地球型惑星（わくせい）と木星型惑星</x:v>
      </x:c>
      <x:c r="B758" s="18" t="str">
        <x:v>地球型は水星・金星・地球・火星で、小さく高密度の岩石質。木星型は木星・土星・天王星・海王星で、大きく低密度、厚い大気と多くの衛星（えいせい）・環をもつ。つながり：岩石質／密度／衛星／環</x:v>
      </x:c>
    </x:row>
    <x:row r="759" ht="58" customHeight="1">
      <x:c r="A759" s="104" t="str">
        <x:v>恒星（こうせい）・惑星（わくせい）・衛星（えいせい）</x:v>
      </x:c>
      <x:c r="B759" s="18" t="str">
        <x:v>恒星（こうせい）は自ら光を放つ天体、惑星（わくせい）は恒星の周りを回り主に反射（はんしゃ）光で見える天体、衛星（えいせい）は惑星などの周りを回る天体。太陽は恒星、地球は惑星、月は衛星。つながり：恒星／惑星／衛星／太陽</x:v>
      </x:c>
    </x:row>
    <x:row r="760" ht="58" customHeight="1">
      <x:c r="A760" s="104" t="str">
        <x:v>内惑星（わくせい）と外惑星</x:v>
      </x:c>
      <x:c r="B760" s="18" t="str">
        <x:v>地球軌道より内側を回る水星・金星が内惑星（わくせい）、外側を回る火星以遠が外惑星。内惑星は太陽から大きく離れて見えず、真夜中には基本的に見えない。つながり：水星／金星／最大離角／外惑星</x:v>
      </x:c>
    </x:row>
    <x:row r="761" ht="58" customHeight="1">
      <x:c r="A761" s="104" t="str">
        <x:v>金星が満ち欠けする理由</x:v>
      </x:c>
      <x:c r="B761" s="18" t="str">
        <x:v>金星が太陽光で照らされた半球を見る角度が、公転によって変わるため。地球に近いと細い三日月形で見かけが大きく、遠いと丸みに近く小さく見える。月と同じく自ら光らない。つながり：内惑星（わくせい）／公転／位相／見かけの大きさ</x:v>
      </x:c>
    </x:row>
    <x:row r="762" ht="58" customHeight="1">
      <x:c r="A762" s="104" t="str">
        <x:v>明けの明星と宵の明星</x:v>
      </x:c>
      <x:c r="B762" s="18" t="str">
        <x:v>金星が太陽の西側に見えると太陽より先に昇り、日の出前の東の空で明けの明星。東側に見えると日没後の西の空で宵の明星。方角は観測時刻と組で覚える。つながり：金星／日の出／日没／内惑星（わくせい）</x:v>
      </x:c>
    </x:row>
    <x:row r="763" ht="58" customHeight="1">
      <x:c r="A763" s="104" t="str">
        <x:v>最大離角（さいだいりかく）</x:v>
      </x:c>
      <x:c r="B763" s="18" t="str">
        <x:v>地球から見た内惑星（わくせい）と太陽の角距離が最大になる位置。東方最大離角では日没後の西空、西方最大離角では日の出前の東空で観察しやすい。太陽から90°まで離れるわけではない。つながり：内惑星／金星／水星／角距離</x:v>
      </x:c>
    </x:row>
    <x:row r="764" ht="58" customHeight="1">
      <x:c r="A764" s="104" t="str">
        <x:v>小惑星（わくせい）・彗星（すいせい）・流星</x:v>
      </x:c>
      <x:c r="B764" s="18" t="str">
        <x:v>小惑星（わくせい）は主に火星と木星の間などを公転する小天体。彗星は氷やちりを含み、太陽に近づくと尾を生じ、尾は太陽と反対向き。流星は小粒子が大気中で発光する現象。つながり：小惑星帯／彗星／流星体／太陽風</x:v>
      </x:c>
    </x:row>
    <x:row r="765" ht="58" customHeight="1">
      <x:c r="A765" s="104" t="str">
        <x:v>光年</x:v>
      </x:c>
      <x:c r="B765" s="18" t="str">
        <x:v>光が真空中を1年間に進む距離で、約9.46兆km。時間の単位ではなく距離の単位。遠い天体を見ることは、その天体の過去の姿を見ることでもある。つながり：光速／距離／恒星（こうせい）／過去の光</x:v>
      </x:c>
    </x:row>
    <x:row r="766" ht="58" customHeight="1">
      <x:c r="A766" s="104" t="str">
        <x:v>銀河系（ぎんがけい）</x:v>
      </x:c>
      <x:c r="B766" s="18" t="str">
        <x:v>太陽系を含む多数の恒星（こうせい）・星間物質からなる銀河で、直径は約10万光年。太陽系は中心ではなく円盤部の外寄りにある。夜空の天の川は円盤内を見た姿。つながり：太陽系／天の川／恒星／光年</x:v>
      </x:c>
    </x:row>
    <x:row r="767" ht="58" customHeight="1">
      <x:c r="A767" s="104" t="str">
        <x:v>銀河と宇宙の大規模構造</x:v>
      </x:c>
      <x:c r="B767" s="18" t="str">
        <x:v>銀河は多数の恒星（こうせい）などからなる巨大な集団で、宇宙には銀河系（ぎんがけい）以外にも無数にある。銀河が群や団をつくり、さらに網目状に分布する。銀河系と太陽系を混同しない。つながり：銀河系／銀河団／恒星／宇宙</x:v>
      </x:c>
    </x:row>
    <x:row r="768" ht="58" customHeight="1">
      <x:c r="A768" s="104" t="str">
        <x:v>生き物らしさを調べる観点</x:v>
      </x:c>
      <x:c r="B768" s="18" t="str">
        <x:v>一度動いたかだけで決めず、成長する、子を残す、周囲から物質やエネルギーを取り入れるなど、複数の特徴を継続して調べる。種や休眠中の生物のように、その場で動かない生物もいる。つながり：生物／成長／継続観察／分類</x:v>
      </x:c>
    </x:row>
    <x:row r="769" ht="58" customHeight="1">
      <x:c r="A769" s="104" t="str">
        <x:v>同じところと違うところ</x:v>
      </x:c>
      <x:c r="B769" s="18" t="str">
        <x:v>二つ以上の対象を同じ観点で比べると、共通点から仲間をまとめ、相違点から問いを見つけられる。色だけでなく、形・大きさ・数・場所・動きなど観点を明示する。つながり：比較／分類／観点／問題発見</x:v>
      </x:c>
    </x:row>
    <x:row r="770" ht="58" customHeight="1">
      <x:c r="A770" s="104" t="str">
        <x:v>季節の変化を公平に比べる観察</x:v>
      </x:c>
      <x:c r="B770" s="18" t="str">
        <x:v>同じ場所・同じ種類の生物を、時刻や記録方法をなるべくそろえて繰り返し観察する。対象や場所まで変えると、季節以外の違いが混ざる。つながり：季節／定点観察／条件制御／気温</x:v>
      </x:c>
    </x:row>
    <x:row r="771" ht="58" customHeight="1">
      <x:c r="A771" s="104" t="str">
        <x:v>季節と生物の変化を結び付ける記録</x:v>
      </x:c>
      <x:c r="B771" s="18" t="str">
        <x:v>日付だけでなく、気温・日当たり・生物の姿や活動を同時に記録する。同時に変わっただけでは気温が唯一の原因とは決められないが、関係を考える証拠になる。つながり：季節／気温／生物の活動／相関</x:v>
      </x:c>
    </x:row>
    <x:row r="772" ht="58" customHeight="1">
      <x:c r="A772" s="104" t="str">
        <x:v>影を比べるときにそろえること</x:v>
      </x:c>
      <x:c r="B772" s="18" t="str">
        <x:v>同じ棒・同じ場所で、時刻、影の向き、先端の位置、長さを記録する。棒の高さや地面の傾きが違う影を、そのまま太陽の位置の違いとはみなせない。つながり：太陽／影／時刻／方位</x:v>
      </x:c>
    </x:row>
    <x:row r="773" ht="58" customHeight="1">
      <x:c r="A773" s="104" t="str">
        <x:v>物と材料を分けて記録する理由</x:v>
      </x:c>
      <x:c r="B773" s="18" t="str">
        <x:v>「スプーン」は物の用途・形、「鉄」や「木」は材料を表す。同じ物でも材料が違い、同じ材料でも多様な物になるため、性質を調べるときは材料名を区別する。つながり：物体／物質／材料／性質</x:v>
      </x:c>
    </x:row>
    <x:row r="774" ht="58" customHeight="1">
      <x:c r="A774" s="104" t="str">
        <x:v>五感を使う観察の限界</x:v>
      </x:c>
      <x:c r="B774" s="18" t="str">
        <x:v>色・音・手触りなどは手掛かりになるが、未知の物を味見したり直接かいだり、熱い物へ触れたりしてはいけない。安全でない感覚は器具による測定へ置き換える。つながり：観察／測定器具／安全／気体</x:v>
      </x:c>
    </x:row>
    <x:row r="775" ht="58" customHeight="1">
      <x:c r="A775" s="104" t="str">
        <x:v>観察対象の大きさを伝える記録</x:v>
      </x:c>
      <x:c r="B775" s="18" t="str">
        <x:v>図を大きく描いても実物が大きいとは限らないため、実際に測った長さや、基準となる物差し・倍率を添える。図の見た目だけで実物大を判断させない。つながり：観察記録／尺度／倍率／長さ</x:v>
      </x:c>
    </x:row>
    <x:row r="776" ht="58" customHeight="1">
      <x:c r="A776" s="104" t="str">
        <x:v>一回だけでなく続けて観察する理由</x:v>
      </x:c>
      <x:c r="B776" s="18" t="str">
        <x:v>成長、天気、月、影などは時間とともに変わる。一回の姿だけでは変化の順序や周期が分からないため、間隔と条件を決めて記録を重ねる。つながり：継続観察／時間変化／成長／周期</x:v>
      </x:c>
    </x:row>
    <x:row r="777" ht="58" customHeight="1">
      <x:c r="A777" s="104" t="str">
        <x:v>生物と周りの環境を一緒に見る理由</x:v>
      </x:c>
      <x:c r="B777" s="18" t="str">
        <x:v>生物の姿だけでなく、光、水、温度、食べ物、すみかも記録すると、生物が環境と関わって生きる様子を考えられる。見つけた場所だけで原因を断定しない。つながり：生物／環境／すみか／生態系</x:v>
      </x:c>
    </x:row>
    <x:row r="778" ht="58" customHeight="1">
      <x:c r="A778" s="104" t="str">
        <x:v>一つの基準で仲間分けする方法</x:v>
      </x:c>
      <x:c r="B778" s="18" t="str">
        <x:v>最初に「脚の数」「花のつくり」など全対象へ同じ基準を当て、当てはまる／当てはまらないで分ける。途中で基準を変えると、分類の意味が曖昧になる。つながり：分類／基準／共通点／相違点</x:v>
      </x:c>
    </x:row>
    <x:row r="779" ht="58" customHeight="1">
      <x:c r="A779" s="104" t="str">
        <x:v>気付きから調べられる問いをつくる</x:v>
      </x:c>
      <x:c r="B779" s="18" t="str">
        <x:v>「不思議だ」で止めず、「何を変えると、何がどう変わるか」の形にする。例として「日なたの方が暖かい」から「日光の当たり方で地面の温度はどう変わるか」と問う。つながり：気付き／問題発見／変数／予想</x:v>
      </x:c>
    </x:row>
    <x:row r="780" ht="58" customHeight="1">
      <x:c r="A780" s="104" t="str">
        <x:v>観察した事実と考えたことの区別</x:v>
      </x:c>
      <x:c r="B780" s="18" t="str">
        <x:v>「液が青になった」は観察事実、「アルカリ性だ」は知識を使った解釈である。記録で両者を分けると、同じ証拠から解釈が妥当か確かめられる。つながり：観察事実／解釈／証拠／結論</x:v>
      </x:c>
    </x:row>
    <x:row r="781" ht="58" customHeight="1">
      <x:c r="A781" s="104" t="str">
        <x:v>科学で調べやすい問いの条件</x:v>
      </x:c>
      <x:c r="B781" s="18" t="str">
        <x:v>対象と比べる量が明確で、観察・測定・実験・資料によって確かめられる問いである。好みや価値だけを尋ねる問いは、科学データだけでは決められない。つながり：問い／測定可能性／証拠／価値判断</x:v>
      </x:c>
    </x:row>
    <x:row r="782" ht="58" customHeight="1">
      <x:c r="A782" s="104" t="str">
        <x:v>予想と仮説（かせつ）の違い</x:v>
      </x:c>
      <x:c r="B782" s="18" t="str">
        <x:v>予想は結果の見通し、仮説（かせつ）は結果がそうなる仕組みまで含む、確かめ可能な説明である。「温度が上がると思う」に「日光で地面が温められるから」を加えると仮説に近づく。つながり：予想／仮説／根拠／検証</x:v>
      </x:c>
    </x:row>
    <x:row r="783" ht="58" customHeight="1">
      <x:c r="A783" s="104" t="str">
        <x:v>根拠のある予想</x:v>
      </x:c>
      <x:c r="B783" s="18" t="str">
        <x:v>生活経験、既習の法則、事前観察など、予想を支える事実を示した予想である。単なる当てずっぽうと区別し、結果が違えば根拠や考えを見直す。つながり：予想／根拠／既習事項／考察</x:v>
      </x:c>
    </x:row>
    <x:row r="784" ht="58" customHeight="1">
      <x:c r="A784" s="104" t="str">
        <x:v>一つの条件だけを変える理由</x:v>
      </x:c>
      <x:c r="B784" s="18" t="str">
        <x:v>結果の違いを、変えた条件の影響として説明しやすくするためである。二つ以上を同時に変えると、どちらが原因か切り分けられない。つながり：変える条件／そろえる条件／公平な実験／因果</x:v>
      </x:c>
    </x:row>
    <x:row r="785" ht="58" customHeight="1">
      <x:c r="A785" s="104" t="str">
        <x:v>実験で意図的に変える量</x:v>
      </x:c>
      <x:c r="B785" s="18" t="str">
        <x:v>原因として働くか調べるため、実験者が段階的に変える量を独立変数（どくりつへんすう）という。横軸に置くことが多いが、時間のように自然に進む量も独立変数として扱う場合がある。つながり：独立変数／横軸／条件制御／従属変数（じゅうぞくへんすう）</x:v>
      </x:c>
    </x:row>
    <x:row r="786" ht="58" customHeight="1">
      <x:c r="A786" s="104" t="str">
        <x:v>実験で同じに保つ量</x:v>
      </x:c>
      <x:c r="B786" s="18" t="str">
        <x:v>調べたい条件以外で結果へ影響しそうな量を統制変数といい、各組で同じにする。振り子の長さの影響なら、おもりの重さや振れ幅をそろえる。つながり：統制変数／公平な実験／振り子／独立変数（どくりつへんすう）</x:v>
      </x:c>
    </x:row>
    <x:row r="787" ht="58" customHeight="1">
      <x:c r="A787" s="104" t="str">
        <x:v>実験で結果として測る量</x:v>
      </x:c>
      <x:c r="B787" s="18" t="str">
        <x:v>変えた条件に応じて変化するかを測る量を従属変数（じゅうぞくへんすう）という。通常は縦軸に置き、単位と測定方法を実験前に決める。つながり：従属変数／縦軸／測定／独立変数（どくりつへんすう）</x:v>
      </x:c>
    </x:row>
    <x:row r="788" ht="58" customHeight="1">
      <x:c r="A788" s="104" t="str">
        <x:v>対照実験（たいしょうじっけん）</x:v>
      </x:c>
      <x:c r="B788" s="18" t="str">
        <x:v>調べる処理をしない、または標準条件にした組を対照とし、処理した組との違いを比べる実験。結果の差が、調べたい処理の効果かどうかを判断しやすくする。つながり：対照／比較／条件制御／発芽</x:v>
      </x:c>
    </x:row>
    <x:row r="789" ht="58" customHeight="1">
      <x:c r="A789" s="104" t="str">
        <x:v>公平な実験になっているかの確認</x:v>
      </x:c>
      <x:c r="B789" s="18" t="str">
        <x:v>変えた条件が一つか、他の条件がそろうか、同じ方法で測るか、十分に繰り返すかを確認する。装置の見た目が同じだけでは公平とは限らない。つながり：条件制御／測定方法／反復／対照</x:v>
      </x:c>
    </x:row>
    <x:row r="790" ht="58" customHeight="1">
      <x:c r="A790" s="104" t="str">
        <x:v>測る量に合う器具の選び方</x:v>
      </x:c>
      <x:c r="B790" s="18" t="str">
        <x:v>量の種類、予想される範囲、必要な細かさに合う器具を選ぶ。100 mL程度を正確に量るのに大きなバケツを使うと、目盛が粗く誤差が大きい。つながり：測定範囲／最小目盛／精度／器具</x:v>
      </x:c>
    </x:row>
    <x:row r="791" ht="58" customHeight="1">
      <x:c r="A791" s="104" t="str">
        <x:v>測定前にゼロを確かめる理由</x:v>
      </x:c>
      <x:c r="B791" s="18" t="str">
        <x:v>何も測っていないときの指示が0でなければ、全測定値が同じ向きにずれる。ゼロ調整できなければ、ずれを記録して補正する。つながり：ゼロ点／系統誤差（けいとうごさ）／補正／測定器具</x:v>
      </x:c>
    </x:row>
    <x:row r="792" ht="58" customHeight="1">
      <x:c r="A792" s="104" t="str">
        <x:v>測定者を替えて確かめる理由</x:v>
      </x:c>
      <x:c r="B792" s="18" t="str">
        <x:v>同じ対象を同じ手順で別の人も測り、値を比べると、目の位置・判断基準・操作の癖による偏りを見つけられる。値が違えば手順を具体化して再測定する。つながり：測定者／客観性（きゃっかんせい）／操作手順／再測定</x:v>
      </x:c>
    </x:row>
    <x:row r="793" ht="58" customHeight="1">
      <x:c r="A793" s="104" t="str">
        <x:v>最小目盛より細かい桁の扱い</x:v>
      </x:c>
      <x:c r="B793" s="18" t="str">
        <x:v>目盛の間を合理的に見積もれる器具では、最小目盛のさらに一桁程度を推定して記録する。ただし、見分けられない桁を何桁も付け足してはいけない。つながり：最小目盛／推定値／有効な桁／精度</x:v>
      </x:c>
    </x:row>
    <x:row r="794" ht="58" customHeight="1">
      <x:c r="A794" s="104" t="str">
        <x:v>測定値に単位が必要な理由</x:v>
      </x:c>
      <x:c r="B794" s="18" t="str">
        <x:v>数値だけでは何の量・大きさか決まらない。数値と単位を一組で記録し、表の見出しに単位を置く場合は各欄で省略してよい。つながり：物理量／単位／表／測定値</x:v>
      </x:c>
    </x:row>
    <x:row r="795" ht="58" customHeight="1">
      <x:c r="A795" s="104" t="str">
        <x:v>複数回をまとめて測る工夫</x:v>
      </x:c>
      <x:c r="B795" s="18" t="str">
        <x:v>振り子10往復など複数回分を一度に測ってから回数で割ると、開始・停止の反応時間が1往復ごとに占める割合を小さくできる。つながり：反復測定／平均／振り子／反応時間</x:v>
      </x:c>
    </x:row>
    <x:row r="796" ht="58" customHeight="1">
      <x:c r="A796" s="104" t="str">
        <x:v>平均だけで結果を判断できない場合</x:v>
      </x:c>
      <x:c r="B796" s="18" t="str">
        <x:v>平均が同じでも、値の散らばりや外れ値が大きく違う場合がある。元の値、範囲、測定回数も見て、結果が安定しているか判断する。つながり：平均／散らばり／外れ値／信頼性</x:v>
      </x:c>
    </x:row>
    <x:row r="797" ht="58" customHeight="1">
      <x:c r="A797" s="104" t="str">
        <x:v>最大値と最小値から分かること</x:v>
      </x:c>
      <x:c r="B797" s="18" t="str">
        <x:v>最大値−最小値で求める範囲は、測定値の散らばりの大まかな大きさを示す。平均に近い値が多いかまでは分からないため、元データも確認する。つながり：範囲／最大値／最小値／散らばり</x:v>
      </x:c>
    </x:row>
    <x:row r="798" ht="58" customHeight="1">
      <x:c r="A798" s="104" t="str">
        <x:v>表の見出しに書く二つの情報</x:v>
      </x:c>
      <x:c r="B798" s="18" t="str">
        <x:v>何を測った列かを示す量名と、その値の単位を書く。例は「時間（s）」であり、数値欄へ単位を毎回書かなくても意味が一意になる。つながり：表／量名／単位／測定値</x:v>
      </x:c>
    </x:row>
    <x:row r="799" ht="58" customHeight="1">
      <x:c r="A799" s="104" t="str">
        <x:v>横軸に置く量の決め方</x:v>
      </x:c>
      <x:c r="B799" s="18" t="str">
        <x:v>実験者が変えた量や、時間のように変化の基準となる量を横軸に置く。軸名と単位を添え、条件の順序が意味をもつよう並べる。つながり：横軸／独立変数（どくりつへんすう）／時間／グラフ</x:v>
      </x:c>
    </x:row>
    <x:row r="800" ht="58" customHeight="1">
      <x:c r="A800" s="104" t="str">
        <x:v>縦軸に置く量の決め方</x:v>
      </x:c>
      <x:c r="B800" s="18" t="str">
        <x:v>横軸の条件に応じて測った結果を縦軸に置く。軸名・単位・測定範囲を明示すると、何の変化か読み取れる。つながり：縦軸／従属変数（じゅうぞくへんすう）／測定結果／グラフ</x:v>
      </x:c>
    </x:row>
    <x:row r="801" ht="58" customHeight="1">
      <x:c r="A801" s="104" t="str">
        <x:v>データに合う目盛の取り方</x:v>
      </x:c>
      <x:c r="B801" s="18" t="str">
        <x:v>最大値・最小値と用紙の大きさを見て、同じ間隔が同じ量を表す目盛にする。2、5、10の倍数など読みやすい刻みを選び、点が狭い範囲へ固まらないようにする。つながり：目盛／軸／測定範囲／作図</x:v>
      </x:c>
    </x:row>
    <x:row r="802" ht="58" customHeight="1">
      <x:c r="A802" s="104" t="str">
        <x:v>測定点を正確に打つ手順</x:v>
      </x:c>
      <x:c r="B802" s="18" t="str">
        <x:v>横軸の条件から縦へ、縦軸の測定値から横へたどり、交点へ小さく明確な点を打つ。点の中心が値を表し、大きな丸で位置を曖昧にしない。つながり：座標／測定点／横軸／縦軸</x:v>
      </x:c>
    </x:row>
    <x:row r="803" ht="58" customHeight="1">
      <x:c r="A803" s="104" t="str">
        <x:v>分類名の間を線で結べない理由</x:v>
      </x:c>
      <x:c r="B803" s="18" t="str">
        <x:v>「昆虫・魚・鳥」のような分類名の間には、時間や温度のような連続した途中の値がない。各分類の量は独立した棒などで比べ、存在しない中間値を線で表さない。つながり：離散データ／棒グラフ／分類／連続量</x:v>
      </x:c>
    </x:row>
    <x:row r="804" ht="58" customHeight="1">
      <x:c r="A804" s="104" t="str">
        <x:v>接頭語が表す十の倍数</x:v>
      </x:c>
      <x:c r="B804" s="18" t="str">
        <x:v>k（キロ）は1000倍、c（センチ）は100分の1、m（ミリ）は1000分の1を表す。ただしmは単独ならメートル、接頭語ならミリなので位置で区別する。つながり：接頭語／キロ／センチ／ミリ</x:v>
      </x:c>
    </x:row>
    <x:row r="805" ht="58" customHeight="1">
      <x:c r="A805" s="104" t="str">
        <x:v>長さの単位を変える倍率</x:v>
      </x:c>
      <x:c r="B805" s="18" t="str">
        <x:v>1 m=100 cm=1000 mm。大きい単位から小さい単位へ直すと数値は大きくなり、逆では小さくなる。単位を書いて向きを確かめる。つながり：メートル／センチメートル／ミリメートル／単位換算</x:v>
      </x:c>
    </x:row>
    <x:row r="806" ht="58" customHeight="1">
      <x:c r="A806" s="104" t="str">
        <x:v>立方センチメートルとミリリットル</x:v>
      </x:c>
      <x:c r="B806" s="18" t="str">
        <x:v>1 cm³=1 mLである。また1000 mL=1 Lなので、1000 cm³=1 L。体積を密度や水溶液の計算へ使うとき単位をそろえる。つながり：体積／ミリリットル／リットル／密度</x:v>
      </x:c>
    </x:row>
    <x:row r="807" ht="58" customHeight="1">
      <x:c r="A807" s="104" t="str">
        <x:v>グラムとキログラムの換算</x:v>
      </x:c>
      <x:c r="B807" s="18" t="str">
        <x:v>1 kg=1000 g。kgからgへは1000倍、gからkgへは1000で割る。重さの単位Nへは単純換算できず、質量と重さを区別する。つながり：質量／グラム／キログラム／重さ</x:v>
      </x:c>
    </x:row>
    <x:row r="808" ht="58" customHeight="1">
      <x:c r="A808" s="104" t="str">
        <x:v>秒・分・時をそろえる手順</x:v>
      </x:c>
      <x:c r="B808" s="18" t="str">
        <x:v>1 min=60 s、1 h=60 min=3600 s。式へ代入する前に求める単位へ統一し、十進法のように100で換算しない。つながり：時間／秒／分／時</x:v>
      </x:c>
    </x:row>
    <x:row r="809" ht="58" customHeight="1">
      <x:c r="A809" s="104" t="str">
        <x:v>割合の基準となる量</x:v>
      </x:c>
      <x:c r="B809" s="18" t="str">
        <x:v>割合=比べる量÷もとにする量である。「何に対して何倍・何％か」を先に言葉で決め、分母と分子を逆にしない。つながり：割合／百分率／比／濃度</x:v>
      </x:c>
    </x:row>
    <x:row r="810" ht="58" customHeight="1">
      <x:c r="A810" s="104" t="str">
        <x:v>百分率を小数へ直す方法</x:v>
      </x:c>
      <x:c r="B810" s="18" t="str">
        <x:v>％は100分のいくつかを表すため、数値を100で割る。25％=0.25であり、式の最後に％で答えるなら小数を100倍する。つながり：百分率／小数／割合／質量パーセント濃度</x:v>
      </x:c>
    </x:row>
    <x:row r="811" ht="58" customHeight="1">
      <x:c r="A811" s="104" t="str">
        <x:v>保護眼鏡を外してよい時点</x:v>
      </x:c>
      <x:c r="B811" s="18" t="str">
        <x:v>加熱・反応・洗浄が終わり、飛散や破損の危険物が片付くまで着用する。自分が操作していなくても、近くで実験が続く間は外さない。つながり：保護眼鏡／薬品／加熱／飛散</x:v>
      </x:c>
    </x:row>
    <x:row r="812" ht="58" customHeight="1">
      <x:c r="A812" s="104" t="str">
        <x:v>ガラス器具を使う前の点検</x:v>
      </x:c>
      <x:c r="B812" s="18" t="str">
        <x:v>ひび、欠け、汚れを明るい所で確認する。傷のあるガラスは加熱や力で割れやすく、割れた物は素手で拾わず指示された道具で処理する。つながり：ガラス器具／破損／加熱／保護眼鏡</x:v>
      </x:c>
    </x:row>
    <x:row r="813" ht="58" customHeight="1">
      <x:c r="A813" s="104" t="str">
        <x:v>試験管の口を人へ向けない理由</x:v>
      </x:c>
      <x:c r="B813" s="18" t="str">
        <x:v>加熱や反応で液体・固体が急に噴き出すことがあるため、自分にも他人にも向けない。試験管を固定せずのぞき込むのも危険である。つながり：試験管／加熱／突沸／保護眼鏡</x:v>
      </x:c>
    </x:row>
    <x:row r="814" ht="58" customHeight="1">
      <x:c r="A814" s="104" t="str">
        <x:v>薬品が目や皮膚に付いた直後</x:v>
      </x:c>
      <x:c r="B814" s="18" t="str">
        <x:v>こすらず、すぐ多量の水で十分に洗い、教師へ報告する。何の薬品かを伝え、自己判断で別の薬品を付けて中和（ちゅうわ）しない。つながり：薬品／洗浄／報告／保護眼鏡</x:v>
      </x:c>
    </x:row>
    <x:row r="815" ht="58" customHeight="1">
      <x:c r="A815" s="104" t="str">
        <x:v>実験後の薬品を元のびんへ戻さない理由</x:v>
      </x:c>
      <x:c r="B815" s="18" t="str">
        <x:v>使用中に混ざった別物質で元の薬品全体を汚染し、予期しない反応を起こす可能性がある。余りは指定された回収容器へ入れる。つながり：薬品／汚染／廃液／化学反応</x:v>
      </x:c>
    </x:row>
    <x:row r="816" ht="58" customHeight="1">
      <x:c r="A816" s="104" t="str">
        <x:v>廃液を勝手に流してはいけない理由</x:v>
      </x:c>
      <x:c r="B816" s="18" t="str">
        <x:v>有害物質、重金属イオン、強い酸・アルカリなどは環境や配管へ影響し、混合で危険な反応も起こりうる。種類ごとに指定容器へ分別する。つながり：廃液／環境保全／イオン／中和（ちゅうわ）</x:v>
      </x:c>
    </x:row>
    <x:row r="817" ht="58" customHeight="1">
      <x:c r="A817" s="104" t="str">
        <x:v>回路で電源を最後につなぐ理由</x:v>
      </x:c>
      <x:c r="B817" s="18" t="str">
        <x:v>配線を直している途中の誤接続や短絡、不要な長時間通電を避けるためである。回路図と接続を確認してから電源をつなぎ、変更前には再び外す。つながり：回路／電源／短絡／配線確認</x:v>
      </x:c>
    </x:row>
    <x:row r="818" ht="58" customHeight="1">
      <x:c r="A818" s="104" t="str">
        <x:v>野外観察の服装と危険回避</x:v>
      </x:c>
      <x:c r="B818" s="18" t="str">
        <x:v>長袖・長ズボン・帽子・歩きやすい靴を基本とし、対象に応じて手袋を使う。未知の生物や物質へ触れたり味見したりせず、崖・道路・水辺から離れ、移動時は班や教師へ伝える。つながり：野外観察／保護具／危険生物／安全行動</x:v>
      </x:c>
    </x:row>
    <x:row r="819" ht="58" customHeight="1">
      <x:c r="A819" s="104" t="str">
        <x:v>野外観察を中止する判断</x:v>
      </x:c>
      <x:c r="B819" s="18" t="str">
        <x:v>雷、急な増水、強風、噴火情報、崖の落石などの危険があれば、観察の完遂より退避を優先する。事前に天気・避難経路・連絡方法を確認する。つながり：野外観察／自然災害／避難／気象情報</x:v>
      </x:c>
    </x:row>
    <x:row r="820" ht="58" customHeight="1">
      <x:c r="A820" s="104" t="str">
        <x:v>太陽の光が食物網を動かすまで</x:v>
      </x:c>
      <x:c r="B820" s="18" t="str">
        <x:v>植物が光合成で光エネルギーを有機物の化学エネルギーへ変え、その有機物が食べる関係を通じて生物へ渡る。各段階で呼吸により一部が熱として周囲へ移る。つながり：太陽光／光合成／食物網／呼吸</x:v>
      </x:c>
    </x:row>
    <x:row r="821" ht="58" customHeight="1">
      <x:c r="A821" s="104" t="str">
        <x:v>酸素と二酸化（さんか）炭素を結ぶ三つの働き</x:v>
      </x:c>
      <x:c r="B821" s="18" t="str">
        <x:v>光合成は二酸化（さんか）炭素を取り入れ酸素を出す一方、呼吸と燃焼は酸素を使い二酸化炭素を生じる。物質は循環するが、各働きの速さは環境や活動量で変わる。つながり：光合成／呼吸／燃焼／炭素循環</x:v>
      </x:c>
    </x:row>
    <x:row r="822" ht="58" customHeight="1">
      <x:c r="A822" s="104" t="str">
        <x:v>太陽のエネルギーが水循環を動かすまで</x:v>
      </x:c>
      <x:c r="B822" s="18" t="str">
        <x:v>太陽のエネルギーで海・地面の水が蒸発し、植物からも蒸散（じょうさん）する。水蒸気は大気中を移動して凝結（ぎょうけつ）・降水し、高低差による流れで川・地下水・海へ戻る。つながり：太陽エネルギー／蒸発／蒸散／水の循環</x:v>
      </x:c>
    </x:row>
    <x:row r="823" ht="58" customHeight="1">
      <x:c r="A823" s="104" t="str">
        <x:v>日射の差から風が生じるまで</x:v>
      </x:c>
      <x:c r="B823" s="18" t="str">
        <x:v>地表の温まり方に差があると、接する空気の温度・密度・気圧に差ができる。空気は気圧の高い側から低い側へ動き、風となる。地球の自転や地形で実際の向きは修正される。つながり：日射／温度差／気圧差／風</x:v>
      </x:c>
    </x:row>
    <x:row r="824" ht="58" customHeight="1">
      <x:c r="A824" s="104" t="str">
        <x:v>気圧・膨張・状態変化で雲を説明する</x:v>
      </x:c>
      <x:c r="B824" s="18" t="str">
        <x:v>上昇した空気は周囲の気圧低下で膨張し、外へ仕事をして温度が下がる。露点（ろてん）に達すると気体の水蒸気が液体の水滴や固体の氷へ状態変化し、雲として見える。つながり：気圧／膨張／露点／状態変化</x:v>
      </x:c>
    </x:row>
    <x:row r="825" ht="58" customHeight="1">
      <x:c r="A825" s="104" t="str">
        <x:v>雨が地層の材料を運ぶ道筋</x:v>
      </x:c>
      <x:c r="B825" s="18" t="str">
        <x:v>降水が地表を流れると、流水が岩石・土砂を侵食（しんしょく）して運搬（うんぱん）する。流れが弱まる場所で粒が堆積（たいせき）し、長い時間に重なって地層の材料になる。つながり：降水／侵食／運搬／堆積</x:v>
      </x:c>
    </x:row>
    <x:row r="826" ht="58" customHeight="1">
      <x:c r="A826" s="104" t="str">
        <x:v>土の粒と浸水リスクを結ぶ考え方</x:v>
      </x:c>
      <x:c r="B826" s="18" t="str">
        <x:v>一般に粗い粒の間には大きな隙間があり水がしみ込みやすいが、地面の締まり方・下層・傾き・降雨強度でも流出量は変わる。粒の大きさ一つだけで洪水を断定しない。つながり：土の粒／浸透／表面流出／洪水</x:v>
      </x:c>
    </x:row>
    <x:row r="827" ht="58" customHeight="1">
      <x:c r="A827" s="104" t="str">
        <x:v>地球内部の熱が災害と恵みを生むまで</x:v>
      </x:c>
      <x:c r="B827" s="18" t="str">
        <x:v>地球内部の熱に関わるマグマ活動やプレート運動は、火山・地震・山地を生む。噴火や揺れは災害となる一方、温泉・地熱・肥沃な土壌・地形などの恵みにもつながる。つながり：地球内部の熱／プレート／火山／地震</x:v>
      </x:c>
    </x:row>
    <x:row r="828" ht="58" customHeight="1">
      <x:c r="A828" s="104" t="str">
        <x:v>粒子運動から対流が起こるまで</x:v>
      </x:c>
      <x:c r="B828" s="18" t="str">
        <x:v>加熱で粒子運動が活発になり、多くの物質は膨張して密度が小さくなる。流体では軽くなった部分が上昇し、冷たく密度の大きい部分が沈んで対流する。つながり：粒子運動／熱膨張／密度／対流</x:v>
      </x:c>
    </x:row>
    <x:row r="829" ht="58" customHeight="1">
      <x:c r="A829" s="104" t="str">
        <x:v>電池でモーターが回るまでのエネルギー</x:v>
      </x:c>
      <x:c r="B829" s="18" t="str">
        <x:v>電池内の化学変化で化学エネルギーが電気エネルギーへ変わり、電流と磁界（じかい）の作用でモーターの運動エネルギーになる。同時に一部は抵抗や摩擦で熱・音へ移る。つながり：化学電池／電流／磁界／モーター</x:v>
      </x:c>
    </x:row>
    <x:row r="830" ht="58" customHeight="1">
      <x:c r="A830" s="104" t="str">
        <x:v>発電機から家庭の機器までの変換</x:v>
      </x:c>
      <x:c r="B830" s="18" t="str">
        <x:v>タービン等の運動で磁界（じかい）を変化させ、電磁誘導（でんじゆうどう）により電気エネルギーを得る。送られた電気は機器で光・熱・音・運動へ変わり、変換のたび一部が利用目的外の熱になる。つながり：発電機／電磁誘導／電気エネルギー／効率</x:v>
      </x:c>
    </x:row>
    <x:row r="831" ht="58" customHeight="1">
      <x:c r="A831" s="104" t="str">
        <x:v>高い所の水が発電するまで</x:v>
      </x:c>
      <x:c r="B831" s="18" t="str">
        <x:v>高所の水がもつ位置エネルギーが、落下・流下で運動エネルギーになり、水車を回す。発電機で電気エネルギーへ変換されるが、流域環境への影響も資料で評価する。つながり：位置エネルギー／流水／タービン／水力発電</x:v>
      </x:c>
    </x:row>
    <x:row r="832" ht="58" customHeight="1">
      <x:c r="A832" s="104" t="str">
        <x:v>水溶液の粒子が電流を運ぶまで</x:v>
      </x:c>
      <x:c r="B832" s="18" t="str">
        <x:v>電解質（でんかいしつ）が水に溶けて陽イオン（よういおん）と陰イオン（いんいおん）になり、電圧を加えると反対符号の電極へ移動する。電極では電子の受け渡しが起こり、回路として電流が続く。つながり：電解質／イオン／電極／電気分解</x:v>
      </x:c>
    </x:row>
    <x:row r="833" ht="58" customHeight="1">
      <x:c r="A833" s="104" t="str">
        <x:v>中和（ちゅうわ）の進み方を複数データで判断する</x:v>
      </x:c>
      <x:c r="B833" s="18" t="str">
        <x:v>指示薬の色だけでなく、pH、温度、加えた体積、沈殿（ちんでん）などを合わせて見る。酸とアルカリを混ぜても量がつり合わなければ一方が残り、中性とは限らない。つながり：中和（ちゅうわ）／pH／指示薬／量的関係</x:v>
      </x:c>
    </x:row>
    <x:row r="834" ht="58" customHeight="1">
      <x:c r="A834" s="104" t="str">
        <x:v>食物が細胞のエネルギー源になるまで</x:v>
      </x:c>
      <x:c r="B834" s="18" t="str">
        <x:v>食物は消化で吸収可能な物質になり、小腸から血液へ入る。循環で細胞へ届き、酸素を使う細胞呼吸でエネルギーが取り出され、二酸化（さんか）炭素などが生じる。つながり：消化／吸収／血液循環／細胞呼吸</x:v>
      </x:c>
    </x:row>
    <x:row r="835" ht="58" customHeight="1">
      <x:c r="A835" s="104" t="str">
        <x:v>根から大気へ水が移る道筋</x:v>
      </x:c>
      <x:c r="B835" s="18" t="str">
        <x:v>根から吸収された水は主に道管（どうかん）を通って葉へ運ばれ、気孔（きこう）から水蒸気として蒸散（じょうさん）する。植物の水移動は土壌と大気を結び、水循環の一部になる。つながり：根／道管／気孔／蒸散</x:v>
      </x:c>
    </x:row>
    <x:row r="836" ht="58" customHeight="1">
      <x:c r="A836" s="104" t="str">
        <x:v>葉のでんぷんと生態系を結ぶ証拠</x:v>
      </x:c>
      <x:c r="B836" s="18" t="str">
        <x:v>日光を当てた葉ででんぷんが検出されれば、光合成で有機物がつくられた証拠になる。その有機物は植物の成長や、植物を食べる生物の物質・エネルギー源になる。つながり：でんぷん／光合成／成長／食物連鎖</x:v>
      </x:c>
    </x:row>
    <x:row r="837" ht="58" customHeight="1">
      <x:c r="A837" s="104" t="str">
        <x:v>遺伝（いでん）子から進化までのつながり</x:v>
      </x:c>
      <x:c r="B837" s="18" t="str">
        <x:v>遺伝（いでん）子は染色体にあり、細胞分裂・生殖を通じて形質に関わる情報が子へ伝わる。遺伝する変異の割合が世代を重ねて集団内で変わることが、進化につながる。つながり：遺伝子／染色体／生殖／進化</x:v>
      </x:c>
    </x:row>
    <x:row r="838" ht="58" customHeight="1">
      <x:c r="A838" s="104" t="str">
        <x:v>分類の共通点が進化の証拠になる理由</x:v>
      </x:c>
      <x:c r="B838" s="18" t="str">
        <x:v>多くの構造・発生・化石の特徴が共通する生物ほど、共通の祖先をもつという説明と整合しやすい。外見一つだけでなく複数の独立した証拠を合わせる。つながり：分類／共通点／化石／共通祖先</x:v>
      </x:c>
    </x:row>
    <x:row r="839" ht="58" customHeight="1">
      <x:c r="A839" s="104" t="str">
        <x:v>地球の自転を確かめる観察記録</x:v>
      </x:c>
      <x:c r="B839" s="18" t="str">
        <x:v>太陽・月・星が一日の間に東から西へ動く記録は、地球が西から東へ自転する模型で統一的に説明できる。一つの天体だけでなく複数天体の共通した動きが証拠を強める。つながり：自転／日周運動（にっしゅううんどう）／天体観察／模型</x:v>
      </x:c>
    </x:row>
    <x:row r="840" ht="58" customHeight="1">
      <x:c r="A840" s="104" t="str">
        <x:v>季節と生物を地球の運動から説明する</x:v>
      </x:c>
      <x:c r="B840" s="18" t="str">
        <x:v>地軸が傾いたまま地球が公転するため、季節で太陽の南中高度（なんちゅうこうど）と昼の長さが変わり、受ける日射量が変わる。気温や生物の成長・活動の年変化へつながる。つながり：公転／地軸／日射量／季節</x:v>
      </x:c>
    </x:row>
    <x:row r="841" ht="58" customHeight="1">
      <x:c r="A841" s="104" t="str">
        <x:v>月の満ち欠けを月食（げっしょく）と区別する証拠</x:v>
      </x:c>
      <x:c r="B841" s="18" t="str">
        <x:v>満ち欠けは太陽に照らされた月の半面を、地球から見る角度が変わるため毎月起こる。地球の影に月が入る月食（げっしょく）は満月のときだけ起こる特別な現象で、毎月は起こらない。つながり：月の満ち欠け／月食／太陽光／位置関係</x:v>
      </x:c>
    </x:row>
    <x:row r="842" ht="58" customHeight="1">
      <x:c r="A842" s="104" t="str">
        <x:v>豪雨時の危険を複数資料から読む</x:v>
      </x:c>
      <x:c r="B842" s="18" t="str">
        <x:v>雨量だけでなく、短時間雨量、土壌の水分、川の水位、地形、上流の降雨、避難情報を合わせる。自分の場所が晴れていても、上流の雨で増水することがある。つながり：雨量／河川水位／地形／避難情報</x:v>
      </x:c>
    </x:row>
    <x:row r="843" ht="58" customHeight="1">
      <x:c r="A843" s="104" t="str">
        <x:v>発電方法を一つの数値だけで選べない理由</x:v>
      </x:c>
      <x:c r="B843" s="18" t="str">
        <x:v>発電量、安定性、費用、二酸化（さんか）炭素、廃棄物、土地利用、災害リスクは発電方法ごとに異なる。共通単位・同じ期間の複数資料を比べ、目的と重み付けを示して判断する。つながり：発電／エネルギー資源／環境負荷／意思決定</x:v>
      </x:c>
    </x:row>
    <x:row r="844" ht="58" customHeight="1">
      <x:c r="A844" s="104" t="str">
        <x:v>平均値</x:v>
      </x:c>
      <x:c r="B844" s="18" t="str">
        <x:v>同じ量を何回か測ったとき、測定値の合計を回数で割った値。偶然のばらつきの影響を小さくできるが、器具のずれなど同じ向きの誤差は消せない。つながり：測定誤差／反復測定／グラフ</x:v>
      </x:c>
    </x:row>
    <x:row r="845" ht="58" customHeight="1">
      <x:c r="A845" s="104" t="str">
        <x:v>条件制御のまとめ</x:v>
      </x:c>
      <x:c r="B845" s="18" t="str">
        <x:v>調べたい原因だけを変え、それ以外を同じにする。変える条件は独立変数（どくりつへんすう）、結果として測る量は従属変数（じゅうぞくへんすう）という。公平な比較の基本である。つながり：対照実験（たいしょうじっけん）／変数／再現性（さいげんせい）</x:v>
      </x:c>
    </x:row>
    <x:row r="846" ht="58" customHeight="1">
      <x:c r="A846" s="104" t="str">
        <x:v>表とグラフの役割（まとめ）</x:v>
      </x:c>
      <x:c r="B846" s="18" t="str">
        <x:v>表は個々の測定値を正確に示し、グラフは変化の傾向や比例関係を見やすくする。横軸に変えた量、縦軸に結果の量を置き、軸名と単位を書く。つながり：変数／比例／読図</x:v>
      </x:c>
    </x:row>
    <x:row r="847" ht="58" customHeight="1">
      <x:c r="A847" s="104" t="str">
        <x:v>物理で比例を見抜く手掛かり</x:v>
      </x:c>
      <x:c r="B847" s="18" t="str">
        <x:v>原点を通る直線か、対応する値の比が一定かを確かめる。ばねの伸びと力、一定温度での電流と電圧などは範囲内で比例するが、直線でも原点を通らなければ比例ではない。つながり：ばね／オームの法則／原点</x:v>
      </x:c>
    </x:row>
    <x:row r="848" ht="58" customHeight="1">
      <x:c r="A848" s="104" t="str">
        <x:v>反比例のグラフ</x:v>
      </x:c>
      <x:c r="B848" s="18" t="str">
        <x:v>一方が2倍になると他方が1/2になる関係で、2つの量の積が一定。グラフは原点を通る直線ではなく曲線になる。押す力が一定のときの圧力と面積などで現れる。つながり：比例／圧力／積が一定</x:v>
      </x:c>
    </x:row>
    <x:row r="849" ht="58" customHeight="1">
      <x:c r="A849" s="104" t="str">
        <x:v>温度と熱の違い</x:v>
      </x:c>
      <x:c r="B849" s="18" t="str">
        <x:v>温度は物体の熱さ・冷たさの程度、熱は温度差によって移動するエネルギー。同じ基準温度まで冷やすなら、少量の熱湯より大量のぬるま湯のほうが多くのエネルギーを放出することもある。つながり：熱量／比熱／熱平衡</x:v>
      </x:c>
    </x:row>
    <x:row r="850" ht="58" customHeight="1">
      <x:c r="A850" s="104" t="str">
        <x:v>熱平衡</x:v>
      </x:c>
      <x:c r="B850" s="18" t="str">
        <x:v>接触した高温物体から低温物体へ熱が移動し、やがて同じ温度になって見かけ上の熱移動が止まった状態。外部との熱の出入りがなければ、失った熱と得た熱は等しい。つながり：熱量保存／温度差／比熱</x:v>
      </x:c>
    </x:row>
    <x:row r="851" ht="58" customHeight="1">
      <x:c r="A851" s="104" t="str">
        <x:v>アルキメデスの原理</x:v>
      </x:c>
      <x:c r="B851" s="18" t="str">
        <x:v>浮力（ふりょく）は、物体が押しのけた流体にはたらく重力に等しい。浮力＝流体の密度×排除体積×重力の強さ。SI単位ならkg/m³×m³×N/kg＝Nとなる。つながり：浮力／排除体積／密度</x:v>
      </x:c>
    </x:row>
    <x:row r="852" ht="58" customHeight="1">
      <x:c r="A852" s="104" t="str">
        <x:v>分離法の選び方</x:v>
      </x:c>
      <x:c r="B852" s="18" t="str">
        <x:v>粒の大きさならろ過、溶解度（ようかいど）の温度差なら再結晶（さいけっしょう）、沸点（ふってん）差なら蒸留（じょうりゅう）、磁性差なら磁石を使う。分けたい成分間で異なる性質を特定するのが先。つながり：ろ過／再結晶／蒸留</x:v>
      </x:c>
    </x:row>
    <x:row r="853" ht="58" customHeight="1">
      <x:c r="A853" s="104" t="str">
        <x:v>試験管を加熱するときの安全</x:v>
      </x:c>
      <x:c r="B853" s="18" t="str">
        <x:v>外側の水滴を拭き、口を人へ向けず、液量は多くしすぎない。固体を加熱して水が生じる場合は口を少し下げる。加熱部へ液が逆流すると試験管が割れる危険がある。つながり：逆流／熱分解／実験安全</x:v>
      </x:c>
    </x:row>
    <x:row r="854" ht="58" customHeight="1">
      <x:c r="A854" s="104" t="str">
        <x:v>未知の物質を調べる順序</x:v>
      </x:c>
      <x:c r="B854" s="18" t="str">
        <x:v>外観だけで断定せず、溶解性、密度、融点（ゆうてん）・沸点（ふってん）、導電性、指示薬、気体・沈殿（ちんでん）反応など複数の性質を安全に調べる。1つの結果で候補を絞り、別試験で確認する。つながり：物質の同定／対照実験（たいしょうじっけん）／再現性（さいげんせい）</x:v>
      </x:c>
    </x:row>
    <x:row r="855" ht="58" customHeight="1">
      <x:c r="A855" s="104" t="str">
        <x:v>生物を観察するときの記録</x:v>
      </x:c>
      <x:c r="B855" s="18" t="str">
        <x:v>日時・場所・天気・大きさ・色・形・数・動きなどを、気づいた事実と考えに分けて記録する。スケッチは細い線で大きく描き、影や想像を足さず、特徴を正確に示す。つながり：スケッチ／比較／観察／測定</x:v>
      </x:c>
    </x:row>
    <x:row r="856" ht="58" customHeight="1">
      <x:c r="A856" s="104" t="str">
        <x:v>ハザードマップの読み方</x:v>
      </x:c>
      <x:c r="B856" s="18" t="str">
        <x:v>洪水・土砂災害・津波などの想定区域、避難場所、避難経路を示す地図。自宅が色の外でも安全と断定せず、災害の種類ごとに確認し、実際の警報と周囲の状況も合わせて行動する。つながり：防災／避難場所／洪水／土砂災害</x:v>
      </x:c>
    </x:row>
    <x:row r="857" ht="58" customHeight="1">
      <x:c r="A857" s="104" t="str">
        <x:v>地球の歴史を復元する証拠</x:v>
      </x:c>
      <x:c r="B857" s="18" t="str">
        <x:v>地層の重なり、化石、放射性元素による年代、岩石の磁気など複数の証拠を組み合わせる。1つの化石や現在の地形だけで結論を出さず、相互に整合する説明を選ぶ。つながり：地層／化石／放射年代／地磁気</x:v>
      </x:c>
    </x:row>
    <x:row r="858" ht="58" customHeight="1">
      <x:c r="A858" s="104" t="str">
        <x:v>天体の模型で距離と大きさを考える</x:v>
      </x:c>
      <x:c r="B858" s="18" t="str">
        <x:v>天体の大きさと距離を同じ縮尺で模型化すると、惑星（わくせい）間の空間が非常に広いと分かる。図では見やすさのため大きさ・距離が別縮尺の場合が多く、見た目の比をそのまま実寸比にしない。つながり：縮尺／太陽系／天体の大きさ／天体間距離</x:v>
      </x:c>
    </x:row>
  </x:sheetData>
  <x:pageMargins left="0.7" right="0.7" top="0.75" bottom="0.75" header="0.3" footer="0.3"/>
  <x:tableParts count="1">
    <x:tablePart xmlns:r="http://schemas.openxmlformats.org/officeDocument/2006/relationships" r:id="R3630513052f0459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9" hidden="0" customWidth="1"/>
    <x:col min="3" max="3" width="10" hidden="0" customWidth="1"/>
    <x:col min="4" max="4" width="24" hidden="0" customWidth="1"/>
    <x:col min="5" max="5" width="12" hidden="0" customWidth="1"/>
    <x:col min="6" max="6" width="9" hidden="0" customWidth="1"/>
    <x:col min="7" max="7" width="10" hidden="0" customWidth="1"/>
    <x:col min="8" max="8" width="30" hidden="0" customWidth="1"/>
    <x:col min="9" max="9" width="82" hidden="0" customWidth="1"/>
    <x:col min="10" max="10" width="34" hidden="0" customWidth="1"/>
  </x:cols>
  <x:sheetData>
    <x:row r="1">
      <x:c r="A1" s="10" t="str">
        <x:v>ID</x:v>
      </x:c>
      <x:c r="B1" s="59" t="str">
        <x:v>領域</x:v>
      </x:c>
      <x:c r="C1" s="59" t="str">
        <x:v>段階</x:v>
      </x:c>
      <x:c r="D1" s="59" t="str">
        <x:v>単元</x:v>
      </x:c>
      <x:c r="E1" s="59" t="str">
        <x:v>種別</x:v>
      </x:c>
      <x:c r="F1" s="59" t="str">
        <x:v>優先度</x:v>
      </x:c>
      <x:c r="G1" s="59" t="str">
        <x:v>コア順</x:v>
      </x:c>
      <x:c r="H1" s="59" t="str">
        <x:v>表</x:v>
      </x:c>
      <x:c r="I1" s="59" t="str">
        <x:v>裏</x:v>
      </x:c>
      <x:c r="J1" s="11" t="str">
        <x:v>関連語</x:v>
      </x:c>
    </x:row>
    <x:row r="2" ht="62" customHeight="1">
      <x:c r="A2" s="105" t="str">
        <x:v>PHY-001</x:v>
      </x:c>
      <x:c r="B2" s="105" t="str">
        <x:v>物理</x:v>
      </x:c>
      <x:c r="C2" s="105" t="str">
        <x:v>小3</x:v>
      </x:c>
      <x:c r="D2" s="105" t="str">
        <x:v>測定</x:v>
      </x:c>
      <x:c r="E2" s="105" t="str">
        <x:v>実験</x:v>
      </x:c>
      <x:c r="F2" s="105" t="str">
        <x:v>A</x:v>
      </x:c>
      <x:c r="G2" s="105" t="str"/>
      <x:c r="H2" s="17" t="str">
        <x:v>長さの測り方</x:v>
      </x:c>
      <x:c r="I2" s="17" t="str">
        <x:v>ものさしの0の線を物体の端に合わせ、目盛りを正面から読む。端が0に合わないときは、両端の値の差を求める。単位を必ず付け、1 cm＝10 mm、1 m＝100 cmとして換算する。つながり：目盛り／単位換算／測定誤差</x:v>
      </x:c>
      <x:c r="J2" s="17" t="str">
        <x:v>目盛り／単位換算／測定誤差</x:v>
      </x:c>
    </x:row>
    <x:row r="3" ht="62" customHeight="1">
      <x:c r="A3" s="106" t="str">
        <x:v>PHY-011</x:v>
      </x:c>
      <x:c r="B3" s="106" t="str">
        <x:v>物理</x:v>
      </x:c>
      <x:c r="C3" s="106" t="str">
        <x:v>小3</x:v>
      </x:c>
      <x:c r="D3" s="106" t="str">
        <x:v>光</x:v>
      </x:c>
      <x:c r="E3" s="106" t="str">
        <x:v>用語</x:v>
      </x:c>
      <x:c r="F3" s="106" t="str">
        <x:v>A</x:v>
      </x:c>
      <x:c r="G3" s="106" t="n">
        <x:v>21</x:v>
      </x:c>
      <x:c r="H3" s="18" t="str">
        <x:v>光の直進</x:v>
      </x:c>
      <x:c r="I3" s="18" t="str">
        <x:v>光は同じ物質の中ではまっすぐ進む。小さな穴を通した光の筋や、影ができることから確かめられる。光線は光の進む道筋を矢印付きの線で表したもの。つながり：影／光線／反射（はんしゃ）</x:v>
      </x:c>
      <x:c r="J3" s="18" t="str">
        <x:v>影／光線／反射はんしゃ&lt;／rt&gt;&lt;／ruby&gt;</x:v>
      </x:c>
    </x:row>
    <x:row r="4" ht="62" customHeight="1">
      <x:c r="A4" s="106" t="str">
        <x:v>PHY-012</x:v>
      </x:c>
      <x:c r="B4" s="106" t="str">
        <x:v>物理</x:v>
      </x:c>
      <x:c r="C4" s="106" t="str">
        <x:v>小3</x:v>
      </x:c>
      <x:c r="D4" s="106" t="str">
        <x:v>光</x:v>
      </x:c>
      <x:c r="E4" s="106" t="str">
        <x:v>因果</x:v>
      </x:c>
      <x:c r="F4" s="106" t="str">
        <x:v>B</x:v>
      </x:c>
      <x:c r="G4" s="106" t="str"/>
      <x:c r="H4" s="18" t="str">
        <x:v>影のでき方</x:v>
      </x:c>
      <x:c r="I4" s="18" t="str">
        <x:v>光源からの光が不透明な物体にさえぎられた場所に影ができる。光源に物体を近づけるほど影は大きくなりやすい。半透明な物体は一部の光を通す。つながり：光の直進／光源／透明・不透明</x:v>
      </x:c>
      <x:c r="J4" s="18" t="str">
        <x:v>光の直進／光源／透明・不透明</x:v>
      </x:c>
    </x:row>
    <x:row r="5" ht="62" customHeight="1">
      <x:c r="A5" s="106" t="str">
        <x:v>PHY-031</x:v>
      </x:c>
      <x:c r="B5" s="106" t="str">
        <x:v>物理</x:v>
      </x:c>
      <x:c r="C5" s="106" t="str">
        <x:v>小3</x:v>
      </x:c>
      <x:c r="D5" s="106" t="str">
        <x:v>音</x:v>
      </x:c>
      <x:c r="E5" s="106" t="str">
        <x:v>用語</x:v>
      </x:c>
      <x:c r="F5" s="106" t="str">
        <x:v>A</x:v>
      </x:c>
      <x:c r="G5" s="106" t="n">
        <x:v>22</x:v>
      </x:c>
      <x:c r="H5" s="18" t="str">
        <x:v>音の正体</x:v>
      </x:c>
      <x:c r="I5" s="18" t="str">
        <x:v>音は物体の振動によって生じ、その振動が周囲へ伝わる現象。音を出している物体を音源という。音叉を水面に触れさせると水が飛び、振動を確かめられる。つながり：振動／音源／音の波</x:v>
      </x:c>
      <x:c r="J5" s="18" t="str">
        <x:v>振動／音源／音の波</x:v>
      </x:c>
    </x:row>
    <x:row r="6" ht="62" customHeight="1">
      <x:c r="A6" s="106" t="str">
        <x:v>PHY-041</x:v>
      </x:c>
      <x:c r="B6" s="106" t="str">
        <x:v>物理</x:v>
      </x:c>
      <x:c r="C6" s="106" t="str">
        <x:v>小3</x:v>
      </x:c>
      <x:c r="D6" s="106" t="str">
        <x:v>電気</x:v>
      </x:c>
      <x:c r="E6" s="106" t="str">
        <x:v>用語</x:v>
      </x:c>
      <x:c r="F6" s="106" t="str">
        <x:v>A</x:v>
      </x:c>
      <x:c r="G6" s="106" t="n">
        <x:v>23</x:v>
      </x:c>
      <x:c r="H6" s="18" t="str">
        <x:v>電気の通り道</x:v>
      </x:c>
      <x:c r="I6" s="18" t="str">
        <x:v>乾電池の＋極から導線・豆電球などを通り、−極まで切れ目なくつながった道を回路という。どこか一か所でも切れると電流は流れない。つながり：回路／電流／スイッチ</x:v>
      </x:c>
      <x:c r="J6" s="18" t="str">
        <x:v>回路／電流／スイッチ</x:v>
      </x:c>
    </x:row>
    <x:row r="7" ht="62" customHeight="1">
      <x:c r="A7" s="106" t="str">
        <x:v>PHY-046</x:v>
      </x:c>
      <x:c r="B7" s="106" t="str">
        <x:v>物理</x:v>
      </x:c>
      <x:c r="C7" s="106" t="str">
        <x:v>小3</x:v>
      </x:c>
      <x:c r="D7" s="106" t="str">
        <x:v>電気</x:v>
      </x:c>
      <x:c r="E7" s="106" t="str">
        <x:v>比較</x:v>
      </x:c>
      <x:c r="F7" s="106" t="str">
        <x:v>A</x:v>
      </x:c>
      <x:c r="G7" s="106" t="str"/>
      <x:c r="H7" s="18" t="str">
        <x:v>導体と不導体</x:v>
      </x:c>
      <x:c r="I7" s="18" t="str">
        <x:v>電流を通しやすい物質が導体、通しにくい物質が不導体。金属や黒鉛は導体、ガラス・ゴム・乾いた木などは不導体。金属だけが導体とは限らない。つながり：電流／金属／絶縁体</x:v>
      </x:c>
      <x:c r="J7" s="18" t="str">
        <x:v>電流／金属／絶縁体</x:v>
      </x:c>
    </x:row>
    <x:row r="8" ht="62" customHeight="1">
      <x:c r="A8" s="106" t="str">
        <x:v>PHY-048</x:v>
      </x:c>
      <x:c r="B8" s="106" t="str">
        <x:v>物理</x:v>
      </x:c>
      <x:c r="C8" s="106" t="str">
        <x:v>小3</x:v>
      </x:c>
      <x:c r="D8" s="106" t="str">
        <x:v>磁石</x:v>
      </x:c>
      <x:c r="E8" s="106" t="str">
        <x:v>用語</x:v>
      </x:c>
      <x:c r="F8" s="106" t="str">
        <x:v>A</x:v>
      </x:c>
      <x:c r="G8" s="106" t="n">
        <x:v>24</x:v>
      </x:c>
      <x:c r="H8" s="18" t="str">
        <x:v>磁石の極</x:v>
      </x:c>
      <x:c r="I8" s="18" t="str">
        <x:v>磁石で力が最も強い両端をN極・S極という。同じ極どうしはしりぞけ合い、異なる極どうしは引き合う。磁石を切ってもN極だけにはならず、各片に両極ができる。つながり：磁力／磁界（じかい）／電磁石</x:v>
      </x:c>
      <x:c r="J8" s="18" t="str">
        <x:v>磁力／磁界じかい&lt;／rt&gt;&lt;／ruby&gt;／電磁石</x:v>
      </x:c>
    </x:row>
    <x:row r="9" ht="62" customHeight="1">
      <x:c r="A9" s="106" t="str">
        <x:v>PHY-049</x:v>
      </x:c>
      <x:c r="B9" s="106" t="str">
        <x:v>物理</x:v>
      </x:c>
      <x:c r="C9" s="106" t="str">
        <x:v>小3</x:v>
      </x:c>
      <x:c r="D9" s="106" t="str">
        <x:v>磁石</x:v>
      </x:c>
      <x:c r="E9" s="106" t="str">
        <x:v>誤解対策</x:v>
      </x:c>
      <x:c r="F9" s="106" t="str">
        <x:v>B</x:v>
      </x:c>
      <x:c r="G9" s="106" t="str"/>
      <x:c r="H9" s="18" t="str">
        <x:v>磁石につく物質</x:v>
      </x:c>
      <x:c r="I9" s="18" t="str">
        <x:v>鉄・ニッケル・コバルトなどは磁石に強く引かれる。金属でもアルミニウムや銅はふつう磁石につかないため、「金属は全部つく」は誤り。つながり：鉄／磁力／金属</x:v>
      </x:c>
      <x:c r="J9" s="18" t="str">
        <x:v>鉄／磁力／金属</x:v>
      </x:c>
    </x:row>
    <x:row r="10" ht="62" customHeight="1">
      <x:c r="A10" s="106" t="str">
        <x:v>PHY-051</x:v>
      </x:c>
      <x:c r="B10" s="106" t="str">
        <x:v>物理</x:v>
      </x:c>
      <x:c r="C10" s="106" t="str">
        <x:v>小3</x:v>
      </x:c>
      <x:c r="D10" s="106" t="str">
        <x:v>磁石</x:v>
      </x:c>
      <x:c r="E10" s="106" t="str">
        <x:v>用語</x:v>
      </x:c>
      <x:c r="F10" s="106" t="str">
        <x:v>B</x:v>
      </x:c>
      <x:c r="G10" s="106" t="str"/>
      <x:c r="H10" s="18" t="str">
        <x:v>方位磁針</x:v>
      </x:c>
      <x:c r="I10" s="18" t="str">
        <x:v>小さな磁石が南北を向く器具。色の付いたN極がおよそ北を指すのは、地球自体が磁界（じかい）を作るため。近くに磁石や電流があると、その磁界の向きを示す。つながり：地磁気／磁界／N極</x:v>
      </x:c>
      <x:c r="J10" s="18" t="str">
        <x:v>地磁気／磁界／N極</x:v>
      </x:c>
    </x:row>
    <x:row r="11" ht="62" customHeight="1">
      <x:c r="A11" s="106" t="str">
        <x:v>PHY-165</x:v>
      </x:c>
      <x:c r="B11" s="106" t="str">
        <x:v>物理</x:v>
      </x:c>
      <x:c r="C11" s="106" t="str">
        <x:v>小3</x:v>
      </x:c>
      <x:c r="D11" s="106" t="str">
        <x:v>測定</x:v>
      </x:c>
      <x:c r="E11" s="106" t="str">
        <x:v>誤解対策</x:v>
      </x:c>
      <x:c r="F11" s="106" t="str">
        <x:v>A</x:v>
      </x:c>
      <x:c r="G11" s="106" t="str"/>
      <x:c r="H11" s="18" t="str">
        <x:v>形を変えた物の重さ</x:v>
      </x:c>
      <x:c r="I11" s="18" t="str">
        <x:v>同じ物なら、丸める・伸ばす・置き方を変えるなど形を変えても重さは変わらない。ちぎれた一部を失ったり、別の物を加えたりすれば、その出入りの分だけ変わる。つながり：質量／保存／測定</x:v>
      </x:c>
      <x:c r="J11" s="18" t="str">
        <x:v>質量／保存／測定</x:v>
      </x:c>
    </x:row>
    <x:row r="12" ht="62" customHeight="1">
      <x:c r="A12" s="106" t="str">
        <x:v>PHY-181</x:v>
      </x:c>
      <x:c r="B12" s="106" t="str">
        <x:v>物理</x:v>
      </x:c>
      <x:c r="C12" s="106" t="str">
        <x:v>小3</x:v>
      </x:c>
      <x:c r="D12" s="106" t="str">
        <x:v>物と重さ</x:v>
      </x:c>
      <x:c r="E12" s="106" t="str">
        <x:v>比較</x:v>
      </x:c>
      <x:c r="F12" s="106" t="str">
        <x:v>A</x:v>
      </x:c>
      <x:c r="G12" s="106" t="str"/>
      <x:c r="H12" s="18" t="str">
        <x:v>同じ体積の物の重さ</x:v>
      </x:c>
      <x:c r="I12" s="18" t="str">
        <x:v>体積が同じでも、材料が違えば重さは異なる。大きさと形をそろえ、材料だけを変えてはかりで比べると、体積の大小と重さを混同せずに調べられる。つながり：材料／体積／質量／密度</x:v>
      </x:c>
      <x:c r="J12" s="18" t="str">
        <x:v>材料／体積／質量／密度</x:v>
      </x:c>
    </x:row>
    <x:row r="13" ht="62" customHeight="1">
      <x:c r="A13" s="106" t="str">
        <x:v>PHY-182</x:v>
      </x:c>
      <x:c r="B13" s="106" t="str">
        <x:v>物理</x:v>
      </x:c>
      <x:c r="C13" s="106" t="str">
        <x:v>小3</x:v>
      </x:c>
      <x:c r="D13" s="106" t="str">
        <x:v>風とゴム</x:v>
      </x:c>
      <x:c r="E13" s="106" t="str">
        <x:v>実験</x:v>
      </x:c>
      <x:c r="F13" s="106" t="str">
        <x:v>A</x:v>
      </x:c>
      <x:c r="G13" s="106" t="str"/>
      <x:c r="H13" s="18" t="str">
        <x:v>風の強さと車の進む距離</x:v>
      </x:c>
      <x:c r="I13" s="18" t="str">
        <x:v>同じ車・帆・床・出発位置で風の強さだけを変えると、強い風ほど車を動かす力が大きくなり、一般に進む距離も長くなる。送風時間など他の条件はそろえる。つながり：風の力／移動距離／条件制御／公平な実験</x:v>
      </x:c>
      <x:c r="J13" s="18" t="str">
        <x:v>風の力／移動距離／条件制御／公平な実験</x:v>
      </x:c>
    </x:row>
    <x:row r="14" ht="62" customHeight="1">
      <x:c r="A14" s="106" t="str">
        <x:v>PHY-183</x:v>
      </x:c>
      <x:c r="B14" s="106" t="str">
        <x:v>物理</x:v>
      </x:c>
      <x:c r="C14" s="106" t="str">
        <x:v>小3</x:v>
      </x:c>
      <x:c r="D14" s="106" t="str">
        <x:v>風とゴム</x:v>
      </x:c>
      <x:c r="E14" s="106" t="str">
        <x:v>実験</x:v>
      </x:c>
      <x:c r="F14" s="106" t="str">
        <x:v>A</x:v>
      </x:c>
      <x:c r="G14" s="106" t="str"/>
      <x:c r="H14" s="18" t="str">
        <x:v>ゴムを伸ばす長さと車の進む距離</x:v>
      </x:c>
      <x:c r="I14" s="18" t="str">
        <x:v>同じゴム・車・床・出発位置でゴムを伸ばす長さだけを変えると、安全な範囲では長く伸ばすほど車を動かす力が大きくなり、一般に進む距離も長くなる。人へ向けず、伸ばしすぎない。つながり：ゴムの力／移動距離／弾性／条件制御</x:v>
      </x:c>
      <x:c r="J14" s="18" t="str">
        <x:v>ゴムの力／移動距離／弾性／条件制御</x:v>
      </x:c>
    </x:row>
    <x:row r="15" ht="62" customHeight="1">
      <x:c r="A15" s="106" t="str">
        <x:v>PHY-184</x:v>
      </x:c>
      <x:c r="B15" s="106" t="str">
        <x:v>物理</x:v>
      </x:c>
      <x:c r="C15" s="106" t="str">
        <x:v>小3</x:v>
      </x:c>
      <x:c r="D15" s="106" t="str">
        <x:v>光</x:v>
      </x:c>
      <x:c r="E15" s="106" t="str">
        <x:v>因果</x:v>
      </x:c>
      <x:c r="F15" s="106" t="str">
        <x:v>A</x:v>
      </x:c>
      <x:c r="G15" s="106" t="str"/>
      <x:c r="H15" s="18" t="str">
        <x:v>鏡で反射（はんしゃ）する日光</x:v>
      </x:c>
      <x:c r="I15" s="18" t="str">
        <x:v>鏡に当たった日光は向きを変えて進み、鏡の向きを変えると反射（はんしゃ）した光が届く場所も変わる。日光は直進するので、鏡の向きと明るい部分の位置を対応させて調べる。つながり：鏡／反射／日光／光の直進</x:v>
      </x:c>
      <x:c r="J15" s="18" t="str">
        <x:v>鏡／反射／日光／光の直進</x:v>
      </x:c>
    </x:row>
    <x:row r="16" ht="62" customHeight="1">
      <x:c r="A16" s="106" t="str">
        <x:v>PHY-185</x:v>
      </x:c>
      <x:c r="B16" s="106" t="str">
        <x:v>物理</x:v>
      </x:c>
      <x:c r="C16" s="106" t="str">
        <x:v>小3</x:v>
      </x:c>
      <x:c r="D16" s="106" t="str">
        <x:v>光</x:v>
      </x:c>
      <x:c r="E16" s="106" t="str">
        <x:v>因果</x:v>
      </x:c>
      <x:c r="F16" s="106" t="str">
        <x:v>A</x:v>
      </x:c>
      <x:c r="G16" s="106" t="str"/>
      <x:c r="H16" s="18" t="str">
        <x:v>日光を集めたときの明るさと暖かさ</x:v>
      </x:c>
      <x:c r="I16" s="18" t="str">
        <x:v>鏡で反射（はんしゃ）した日光を重ねたり虫眼鏡で集めたりすると、光が集まった所は明るくなり、温度も上がる。太陽や強い光を直接見ず、人・生物・燃えやすい物へ光を集めない。つながり：集光／明るさ／温度／観察安全</x:v>
      </x:c>
      <x:c r="J16" s="18" t="str">
        <x:v>集光／明るさ／温度／観察安全</x:v>
      </x:c>
    </x:row>
    <x:row r="17" ht="62" customHeight="1">
      <x:c r="A17" s="106" t="str">
        <x:v>PHY-186</x:v>
      </x:c>
      <x:c r="B17" s="106" t="str">
        <x:v>物理</x:v>
      </x:c>
      <x:c r="C17" s="106" t="str">
        <x:v>小3</x:v>
      </x:c>
      <x:c r="D17" s="106" t="str">
        <x:v>磁石</x:v>
      </x:c>
      <x:c r="E17" s="106" t="str">
        <x:v>用語</x:v>
      </x:c>
      <x:c r="F17" s="106" t="str">
        <x:v>A</x:v>
      </x:c>
      <x:c r="G17" s="106" t="str"/>
      <x:c r="H17" s="18" t="str">
        <x:v>磁石につけた鉄が磁石になる現象</x:v>
      </x:c>
      <x:c r="I17" s="18" t="str">
        <x:v>鉄のくぎなどを磁石につけると、その鉄も別の鉄を引き付けることがある。このように物が磁石の性質をもつことを磁化といい、磁石から離すと弱まったり、しばらく残ったりする。つながり：磁化／鉄／磁力／磁極</x:v>
      </x:c>
      <x:c r="J17" s="18" t="str">
        <x:v>磁化／鉄／磁力／磁極</x:v>
      </x:c>
    </x:row>
    <x:row r="18" ht="62" customHeight="1">
      <x:c r="A18" s="106" t="str">
        <x:v>BIO-003</x:v>
      </x:c>
      <x:c r="B18" s="106" t="str">
        <x:v>生物</x:v>
      </x:c>
      <x:c r="C18" s="106" t="str">
        <x:v>小3</x:v>
      </x:c>
      <x:c r="D18" s="106" t="str">
        <x:v>観察器具</x:v>
      </x:c>
      <x:c r="E18" s="106" t="str">
        <x:v>実験</x:v>
      </x:c>
      <x:c r="F18" s="106" t="str">
        <x:v>A</x:v>
      </x:c>
      <x:c r="G18" s="106" t="str"/>
      <x:c r="H18" s="18" t="str">
        <x:v>ルーペの使い方</x:v>
      </x:c>
      <x:c r="I18" s="18" t="str">
        <x:v>ルーペを目に近づけて固定し、観察物を前後に動かしてピントを合わせる。動かせない物は、ルーペを目につけたまま顔ごと近づく。太陽を絶対に見てはいけない。つながり：観察／焦点（しょうてん）／顕微鏡（けんびきょう）／安全</x:v>
      </x:c>
      <x:c r="J18" s="18" t="str">
        <x:v>観察／焦点しょうてん&lt;／rt&gt;&lt;／ruby&gt;／顕微鏡けんびきょう&lt;／rt&gt;&lt;／ruby&gt;／安全</x:v>
      </x:c>
    </x:row>
    <x:row r="19" ht="62" customHeight="1">
      <x:c r="A19" s="106" t="str">
        <x:v>BIO-020</x:v>
      </x:c>
      <x:c r="B19" s="106" t="str">
        <x:v>生物</x:v>
      </x:c>
      <x:c r="C19" s="106" t="str">
        <x:v>小3</x:v>
      </x:c>
      <x:c r="D19" s="106" t="str">
        <x:v>植物の一生</x:v>
      </x:c>
      <x:c r="E19" s="106" t="str">
        <x:v>用語</x:v>
      </x:c>
      <x:c r="F19" s="106" t="str">
        <x:v>B</x:v>
      </x:c>
      <x:c r="G19" s="106" t="str"/>
      <x:c r="H19" s="18" t="str">
        <x:v>植物の生活環</x:v>
      </x:c>
      <x:c r="I19" s="18" t="str">
        <x:v>種子→発芽→成長→開花→受粉（じゅふん）・受精（じゅせい）→果実・種子という循環。種子が散布され、次世代が新しい場所で育つことで生活環が続く。つながり：発芽／開花／受精／種子散布</x:v>
      </x:c>
      <x:c r="J19" s="18" t="str">
        <x:v>発芽／開花／受精／種子散布</x:v>
      </x:c>
    </x:row>
    <x:row r="20" ht="62" customHeight="1">
      <x:c r="A20" s="106" t="str">
        <x:v>BIO-021</x:v>
      </x:c>
      <x:c r="B20" s="106" t="str">
        <x:v>生物</x:v>
      </x:c>
      <x:c r="C20" s="106" t="str">
        <x:v>小3</x:v>
      </x:c>
      <x:c r="D20" s="106" t="str">
        <x:v>昆虫</x:v>
      </x:c>
      <x:c r="E20" s="106" t="str">
        <x:v>比較</x:v>
      </x:c>
      <x:c r="F20" s="106" t="str">
        <x:v>A</x:v>
      </x:c>
      <x:c r="G20" s="106" t="str"/>
      <x:c r="H20" s="18" t="str">
        <x:v>昆虫の体のつくり</x:v>
      </x:c>
      <x:c r="I20" s="18" t="str">
        <x:v>体は頭・胸・腹の3部に分かれ、胸に3対6本の脚がある。多くは胸に2対の翅をもち、頭に1対の触角がある。クモは脚が4対で昆虫ではない。つながり：頭部／胸部／腹部／節足動物（せっそくどうぶつ）</x:v>
      </x:c>
      <x:c r="J20" s="18" t="str">
        <x:v>頭部／胸部／腹部／節足動物せっそくどうぶつ&lt;／rt&gt;&lt;／ruby&gt;</x:v>
      </x:c>
    </x:row>
    <x:row r="21" ht="62" customHeight="1">
      <x:c r="A21" s="106" t="str">
        <x:v>BIO-022</x:v>
      </x:c>
      <x:c r="B21" s="106" t="str">
        <x:v>生物</x:v>
      </x:c>
      <x:c r="C21" s="106" t="str">
        <x:v>小3</x:v>
      </x:c>
      <x:c r="D21" s="106" t="str">
        <x:v>昆虫</x:v>
      </x:c>
      <x:c r="E21" s="106" t="str">
        <x:v>比較</x:v>
      </x:c>
      <x:c r="F21" s="106" t="str">
        <x:v>A</x:v>
      </x:c>
      <x:c r="G21" s="106" t="str"/>
      <x:c r="H21" s="18" t="str">
        <x:v>完全変態と不完全変態</x:v>
      </x:c>
      <x:c r="I21" s="18" t="str">
        <x:v>完全変態は卵→幼虫→さなぎ→成虫（チョウ・カブトムシなど）。不完全変態はさなぎを経ず、卵→幼虫→成虫（バッタ・トンボなど）。成長段階の順序で区別する。つながり：幼虫／さなぎ／成虫／昆虫</x:v>
      </x:c>
      <x:c r="J21" s="18" t="str">
        <x:v>幼虫／さなぎ／成虫／昆虫</x:v>
      </x:c>
    </x:row>
    <x:row r="22" ht="62" customHeight="1">
      <x:c r="A22" s="106" t="str">
        <x:v>EAR-010</x:v>
      </x:c>
      <x:c r="B22" s="106" t="str">
        <x:v>地学</x:v>
      </x:c>
      <x:c r="C22" s="106" t="str">
        <x:v>小3</x:v>
      </x:c>
      <x:c r="D22" s="106" t="str">
        <x:v>太陽の観察</x:v>
      </x:c>
      <x:c r="E22" s="106" t="str">
        <x:v>読図</x:v>
      </x:c>
      <x:c r="F22" s="106" t="str">
        <x:v>A</x:v>
      </x:c>
      <x:c r="G22" s="106" t="str"/>
      <x:c r="H22" s="18" t="str">
        <x:v>太陽の位置と影</x:v>
      </x:c>
      <x:c r="I22" s="18" t="str">
        <x:v>太陽は東から南の空を通って西へ動いて見え、影は太陽と反対側へ伸びる。日本では南中時に太陽が真南付近にあり、影は真北付近で最も短くなる。つながり：日周運動（にっしゅううんどう）／南中／影／方位</x:v>
      </x:c>
      <x:c r="J22" s="18" t="str">
        <x:v>日周運動にっしゅううんどう&lt;／rt&gt;&lt;／ruby&gt;／南中／影／方位</x:v>
      </x:c>
    </x:row>
    <x:row r="23" ht="62" customHeight="1">
      <x:c r="A23" s="106" t="str">
        <x:v>EAR-011</x:v>
      </x:c>
      <x:c r="B23" s="106" t="str">
        <x:v>地学</x:v>
      </x:c>
      <x:c r="C23" s="106" t="str">
        <x:v>小3</x:v>
      </x:c>
      <x:c r="D23" s="106" t="str">
        <x:v>太陽の観察</x:v>
      </x:c>
      <x:c r="E23" s="106" t="str">
        <x:v>実験</x:v>
      </x:c>
      <x:c r="F23" s="106" t="str">
        <x:v>A</x:v>
      </x:c>
      <x:c r="G23" s="106" t="str"/>
      <x:c r="H23" s="18" t="str">
        <x:v>太陽を安全に観察する方法</x:v>
      </x:c>
      <x:c r="I23" s="18" t="str">
        <x:v>太陽観察用の遮光板や投影法を用いる。肉眼、双眼鏡、望遠鏡で直接見てはいけない。色付き下敷きやすすをつけたガラスも安全な代用品ではない。つながり：遮光板／投影法／日食（にっしょく）／安全</x:v>
      </x:c>
      <x:c r="J23" s="18" t="str">
        <x:v>遮光板／投影法／日食にっしょく&lt;／rt&gt;&lt;／ruby&gt;／安全</x:v>
      </x:c>
    </x:row>
    <x:row r="24" ht="62" customHeight="1">
      <x:c r="A24" s="106" t="str">
        <x:v>EAR-174</x:v>
      </x:c>
      <x:c r="B24" s="106" t="str">
        <x:v>地学</x:v>
      </x:c>
      <x:c r="C24" s="106" t="str">
        <x:v>小3</x:v>
      </x:c>
      <x:c r="D24" s="106" t="str">
        <x:v>太陽と地面</x:v>
      </x:c>
      <x:c r="E24" s="106" t="str">
        <x:v>実験</x:v>
      </x:c>
      <x:c r="F24" s="106" t="str">
        <x:v>A</x:v>
      </x:c>
      <x:c r="G24" s="106" t="str"/>
      <x:c r="H24" s="18" t="str">
        <x:v>日なたと日陰の地面の温度</x:v>
      </x:c>
      <x:c r="I24" s="18" t="str">
        <x:v>同じ時刻なら、日光が当たる日なたの地面は、日光が遮られた日陰より温度が高くなりやすい。同じ種類・状態の地面で、同じ時刻・深さ・器具にそろえて測る。つながり：日光／地面の温度／日陰／条件制御</x:v>
      </x:c>
      <x:c r="J24" s="18" t="str">
        <x:v>日光／地面の温度／日陰／条件制御</x:v>
      </x:c>
    </x:row>
    <x:row r="25" ht="62" customHeight="1">
      <x:c r="A25" s="106" t="str">
        <x:v>PHY-042</x:v>
      </x:c>
      <x:c r="B25" s="106" t="str">
        <x:v>物理</x:v>
      </x:c>
      <x:c r="C25" s="106" t="str">
        <x:v>小4</x:v>
      </x:c>
      <x:c r="D25" s="106" t="str">
        <x:v>電気</x:v>
      </x:c>
      <x:c r="E25" s="106" t="str">
        <x:v>用語</x:v>
      </x:c>
      <x:c r="F25" s="106" t="str">
        <x:v>A</x:v>
      </x:c>
      <x:c r="G25" s="106" t="str"/>
      <x:c r="H25" s="18" t="str">
        <x:v>直列つなぎ</x:v>
      </x:c>
      <x:c r="I25" s="18" t="str">
        <x:v>部品を分かれ道のない一本道につなぐ方法。豆電球2個の直列では同じ電流が順に流れ、一方を外すと全体が消える。乾電池の直列つなぎでは電圧が加わる。つながり：並列つなぎ／電流／電圧</x:v>
      </x:c>
      <x:c r="J25" s="18" t="str">
        <x:v>並列つなぎ／電流／電圧</x:v>
      </x:c>
    </x:row>
    <x:row r="26" ht="62" customHeight="1">
      <x:c r="A26" s="106" t="str">
        <x:v>PHY-043</x:v>
      </x:c>
      <x:c r="B26" s="106" t="str">
        <x:v>物理</x:v>
      </x:c>
      <x:c r="C26" s="106" t="str">
        <x:v>小4</x:v>
      </x:c>
      <x:c r="D26" s="106" t="str">
        <x:v>電気</x:v>
      </x:c>
      <x:c r="E26" s="106" t="str">
        <x:v>用語</x:v>
      </x:c>
      <x:c r="F26" s="106" t="str">
        <x:v>A</x:v>
      </x:c>
      <x:c r="G26" s="106" t="str"/>
      <x:c r="H26" s="18" t="str">
        <x:v>並列つなぎ</x:v>
      </x:c>
      <x:c r="I26" s="18" t="str">
        <x:v>回路に分かれ道を作って部品をつなぐ方法。枝分かれした各部分には同じ電圧がかかり、一方の豆電球を外しても他方は点灯する。家庭の器具も並列につながる。つながり：直列つなぎ／電圧／家庭回路</x:v>
      </x:c>
      <x:c r="J26" s="18" t="str">
        <x:v>直列つなぎ／電圧／家庭回路</x:v>
      </x:c>
    </x:row>
    <x:row r="27" ht="62" customHeight="1">
      <x:c r="A27" s="106" t="str">
        <x:v>PHY-044</x:v>
      </x:c>
      <x:c r="B27" s="106" t="str">
        <x:v>物理</x:v>
      </x:c>
      <x:c r="C27" s="106" t="str">
        <x:v>小4</x:v>
      </x:c>
      <x:c r="D27" s="106" t="str">
        <x:v>電気</x:v>
      </x:c>
      <x:c r="E27" s="106" t="str">
        <x:v>因果</x:v>
      </x:c>
      <x:c r="F27" s="106" t="str">
        <x:v>A</x:v>
      </x:c>
      <x:c r="G27" s="106" t="str"/>
      <x:c r="H27" s="18" t="str">
        <x:v>乾電池の直列つなぎ</x:v>
      </x:c>
      <x:c r="I27" s="18" t="str">
        <x:v>一方の＋極と他方の−極をつなぐ。向きをそろえた2個なら電圧は1個の約2倍になり、豆電球は明るくなりやすい。逆向きにつなぐと電圧が打ち消し合う。つながり：電圧／直列回路／極性</x:v>
      </x:c>
      <x:c r="J27" s="18" t="str">
        <x:v>電圧／直列回路／極性</x:v>
      </x:c>
    </x:row>
    <x:row r="28" ht="62" customHeight="1">
      <x:c r="A28" s="106" t="str">
        <x:v>PHY-045</x:v>
      </x:c>
      <x:c r="B28" s="106" t="str">
        <x:v>物理</x:v>
      </x:c>
      <x:c r="C28" s="106" t="str">
        <x:v>小4</x:v>
      </x:c>
      <x:c r="D28" s="106" t="str">
        <x:v>電気</x:v>
      </x:c>
      <x:c r="E28" s="106" t="str">
        <x:v>比較</x:v>
      </x:c>
      <x:c r="F28" s="106" t="str">
        <x:v>B</x:v>
      </x:c>
      <x:c r="G28" s="106" t="str"/>
      <x:c r="H28" s="18" t="str">
        <x:v>乾電池の並列つなぎ</x:v>
      </x:c>
      <x:c r="I28" s="18" t="str">
        <x:v>＋極どうし、−極どうしをつなぐ。同種・同容量・同じ使用状態の電池を同じ向きでつなぐと、電圧は1個とほぼ同じで同じ器具を長く動かせる。新旧・異種の電池を混ぜるのは危険。つながり：並列回路／電圧／電池容量</x:v>
      </x:c>
      <x:c r="J28" s="18" t="str">
        <x:v>並列回路／電圧／電池容量</x:v>
      </x:c>
    </x:row>
    <x:row r="29" ht="62" customHeight="1">
      <x:c r="A29" s="106" t="str">
        <x:v>PHY-047</x:v>
      </x:c>
      <x:c r="B29" s="106" t="str">
        <x:v>物理</x:v>
      </x:c>
      <x:c r="C29" s="106" t="str">
        <x:v>小4</x:v>
      </x:c>
      <x:c r="D29" s="106" t="str">
        <x:v>電気</x:v>
      </x:c>
      <x:c r="E29" s="106" t="str">
        <x:v>誤解対策</x:v>
      </x:c>
      <x:c r="F29" s="106" t="str">
        <x:v>A</x:v>
      </x:c>
      <x:c r="G29" s="106" t="str"/>
      <x:c r="H29" s="18" t="str">
        <x:v>ショート回路</x:v>
      </x:c>
      <x:c r="I29" s="18" t="str">
        <x:v>電池の＋極と−極を抵抗の小さい導線で直接つなぐ状態。非常に大きな電流が流れて導線や電池が発熱し、火災や破裂の危険がある。実験で行わない。つながり：電気抵抗／発熱／過電流</x:v>
      </x:c>
      <x:c r="J29" s="18" t="str">
        <x:v>電気抵抗／発熱／過電流</x:v>
      </x:c>
    </x:row>
    <x:row r="30" ht="62" customHeight="1">
      <x:c r="A30" s="106" t="str">
        <x:v>PHY-057</x:v>
      </x:c>
      <x:c r="B30" s="106" t="str">
        <x:v>物理</x:v>
      </x:c>
      <x:c r="C30" s="106" t="str">
        <x:v>小4</x:v>
      </x:c>
      <x:c r="D30" s="106" t="str">
        <x:v>熱</x:v>
      </x:c>
      <x:c r="E30" s="106" t="str">
        <x:v>用語</x:v>
      </x:c>
      <x:c r="F30" s="106" t="str">
        <x:v>A</x:v>
      </x:c>
      <x:c r="G30" s="106" t="str"/>
      <x:c r="H30" s="18" t="str">
        <x:v>熱伝導</x:v>
      </x:c>
      <x:c r="I30" s="18" t="str">
        <x:v>物質そのものが大きく移動せず、隣り合う部分へ熱が伝わる現象。金属は熱を伝えやすく、木や空気は伝えにくい。金属棒の一端を熱すると順に温まる。つながり：導体／断熱／温度差</x:v>
      </x:c>
      <x:c r="J30" s="18" t="str">
        <x:v>導体／断熱／温度差</x:v>
      </x:c>
    </x:row>
    <x:row r="31" ht="62" customHeight="1">
      <x:c r="A31" s="106" t="str">
        <x:v>PHY-058</x:v>
      </x:c>
      <x:c r="B31" s="106" t="str">
        <x:v>物理</x:v>
      </x:c>
      <x:c r="C31" s="106" t="str">
        <x:v>小4</x:v>
      </x:c>
      <x:c r="D31" s="106" t="str">
        <x:v>熱</x:v>
      </x:c>
      <x:c r="E31" s="106" t="str">
        <x:v>因果</x:v>
      </x:c>
      <x:c r="F31" s="106" t="str">
        <x:v>A</x:v>
      </x:c>
      <x:c r="G31" s="106" t="str"/>
      <x:c r="H31" s="18" t="str">
        <x:v>対流</x:v>
      </x:c>
      <x:c r="I31" s="18" t="str">
        <x:v>多くの液体・気体では、温まった部分が膨張して密度が小さくなり上昇し、冷たい部分が下降して全体に熱を運ぶ。固体では対流しない。水の0〜4℃付近など例外もある。つながり：密度／熱膨張／流体</x:v>
      </x:c>
      <x:c r="J31" s="18" t="str">
        <x:v>密度／熱膨張／流体</x:v>
      </x:c>
    </x:row>
    <x:row r="32" ht="62" customHeight="1">
      <x:c r="A32" s="106" t="str">
        <x:v>PHY-061</x:v>
      </x:c>
      <x:c r="B32" s="106" t="str">
        <x:v>物理</x:v>
      </x:c>
      <x:c r="C32" s="106" t="str">
        <x:v>小4</x:v>
      </x:c>
      <x:c r="D32" s="106" t="str">
        <x:v>熱</x:v>
      </x:c>
      <x:c r="E32" s="106" t="str">
        <x:v>因果</x:v>
      </x:c>
      <x:c r="F32" s="106" t="str">
        <x:v>B</x:v>
      </x:c>
      <x:c r="G32" s="106" t="str"/>
      <x:c r="H32" s="18" t="str">
        <x:v>熱膨張</x:v>
      </x:c>
      <x:c r="I32" s="18" t="str">
        <x:v>多くの物質は温めると体積が増え、冷やすと減る。橋やレールにすき間を設けるのは膨張による変形を防ぐため。質量は温めただけでは変わらない。つながり：温度／体積／密度</x:v>
      </x:c>
      <x:c r="J32" s="18" t="str">
        <x:v>温度／体積／密度</x:v>
      </x:c>
    </x:row>
    <x:row r="33" ht="62" customHeight="1">
      <x:c r="A33" s="106" t="str">
        <x:v>PHY-166</x:v>
      </x:c>
      <x:c r="B33" s="106" t="str">
        <x:v>物理</x:v>
      </x:c>
      <x:c r="C33" s="106" t="str">
        <x:v>小4</x:v>
      </x:c>
      <x:c r="D33" s="106" t="str">
        <x:v>空気と水</x:v>
      </x:c>
      <x:c r="E33" s="106" t="str">
        <x:v>実験</x:v>
      </x:c>
      <x:c r="F33" s="106" t="str">
        <x:v>A</x:v>
      </x:c>
      <x:c r="G33" s="106" t="str"/>
      <x:c r="H33" s="18" t="str">
        <x:v>閉じ込めた空気を押す</x:v>
      </x:c>
      <x:c r="I33" s="18" t="str">
        <x:v>出口をふさいだ注射器の空気を押すと、体積が小さくなり押し返す力が強くなる。手を離すと元へ戻ろうとする。針のない注射器を人へ向けず、無理な力を加えない。つながり：圧縮／体積／圧力</x:v>
      </x:c>
      <x:c r="J33" s="18" t="str">
        <x:v>圧縮／体積／圧力</x:v>
      </x:c>
    </x:row>
    <x:row r="34" ht="62" customHeight="1">
      <x:c r="A34" s="106" t="str">
        <x:v>PHY-167</x:v>
      </x:c>
      <x:c r="B34" s="106" t="str">
        <x:v>物理</x:v>
      </x:c>
      <x:c r="C34" s="106" t="str">
        <x:v>小4</x:v>
      </x:c>
      <x:c r="D34" s="106" t="str">
        <x:v>空気と水</x:v>
      </x:c>
      <x:c r="E34" s="106" t="str">
        <x:v>実験</x:v>
      </x:c>
      <x:c r="F34" s="106" t="str">
        <x:v>A</x:v>
      </x:c>
      <x:c r="G34" s="106" t="str"/>
      <x:c r="H34" s="18" t="str">
        <x:v>閉じ込めた水を押す</x:v>
      </x:c>
      <x:c r="I34" s="18" t="str">
        <x:v>水で満たして出口をふさいだ注射器は、押しても水の体積がほぼ変わらない。気泡や漏れがあると結果が変わる。針のない注射器を人へ向けず、無理な力を加えない。つながり：圧縮／液体／条件制御</x:v>
      </x:c>
      <x:c r="J34" s="18" t="str">
        <x:v>圧縮／液体／条件制御</x:v>
      </x:c>
    </x:row>
    <x:row r="35" ht="62" customHeight="1">
      <x:c r="A35" s="106" t="str">
        <x:v>PHY-168</x:v>
      </x:c>
      <x:c r="B35" s="106" t="str">
        <x:v>物理</x:v>
      </x:c>
      <x:c r="C35" s="106" t="str">
        <x:v>小4</x:v>
      </x:c>
      <x:c r="D35" s="106" t="str">
        <x:v>空気と水</x:v>
      </x:c>
      <x:c r="E35" s="106" t="str">
        <x:v>比較</x:v>
      </x:c>
      <x:c r="F35" s="106" t="str">
        <x:v>A</x:v>
      </x:c>
      <x:c r="G35" s="106" t="str"/>
      <x:c r="H35" s="18" t="str">
        <x:v>空気と水の圧縮の違い</x:v>
      </x:c>
      <x:c r="I35" s="18" t="str">
        <x:v>空気は押すと体積が小さくなるが、水は非常に圧縮されにくい。空気は粒子間のすき間が大きく、水では粒子が近くにあると考えると説明できる。つながり：粒子モデル／体積／圧力</x:v>
      </x:c>
      <x:c r="J35" s="18" t="str">
        <x:v>粒子モデル／体積／圧力</x:v>
      </x:c>
    </x:row>
    <x:row r="36" ht="62" customHeight="1">
      <x:c r="A36" s="106" t="str">
        <x:v>PHY-187</x:v>
      </x:c>
      <x:c r="B36" s="106" t="str">
        <x:v>物理</x:v>
      </x:c>
      <x:c r="C36" s="106" t="str">
        <x:v>小4</x:v>
      </x:c>
      <x:c r="D36" s="106" t="str">
        <x:v>電気</x:v>
      </x:c>
      <x:c r="E36" s="106" t="str">
        <x:v>因果</x:v>
      </x:c>
      <x:c r="F36" s="106" t="str">
        <x:v>A</x:v>
      </x:c>
      <x:c r="G36" s="106" t="str"/>
      <x:c r="H36" s="18" t="str">
        <x:v>乾電池の向きとモーターの回転</x:v>
      </x:c>
      <x:c r="I36" s="18" t="str">
        <x:v>同じ回路で乾電池の＋極と−極を逆につなぐと、電流の向きが逆になり、モーターの回転方向も逆になる。向き以外の条件をそろえ、乾電池の両極を導線だけで結ばない。つながり：乾電池／電流の向き／モーター／ショート回路</x:v>
      </x:c>
      <x:c r="J36" s="18" t="str">
        <x:v>乾電池／電流の向き／モーター／ショート回路</x:v>
      </x:c>
    </x:row>
    <x:row r="37" ht="62" customHeight="1">
      <x:c r="A37" s="106" t="str">
        <x:v>CHE-001</x:v>
      </x:c>
      <x:c r="B37" s="106" t="str">
        <x:v>化学</x:v>
      </x:c>
      <x:c r="C37" s="106" t="str">
        <x:v>小4</x:v>
      </x:c>
      <x:c r="D37" s="106" t="str">
        <x:v>物質の状態</x:v>
      </x:c>
      <x:c r="E37" s="106" t="str">
        <x:v>比較</x:v>
      </x:c>
      <x:c r="F37" s="106" t="str">
        <x:v>A</x:v>
      </x:c>
      <x:c r="G37" s="106" t="n">
        <x:v>25</x:v>
      </x:c>
      <x:c r="H37" s="18" t="str">
        <x:v>固体・液体・気体</x:v>
      </x:c>
      <x:c r="I37" s="18" t="str">
        <x:v>固体は形と体積がほぼ一定、液体は体積がほぼ一定で容器に合わせて形が変わり、気体は形も体積も容器全体へ広がる。同じ物質でも温度で状態が変わる。つながり：状態変化／粒子／温度</x:v>
      </x:c>
      <x:c r="J37" s="18" t="str">
        <x:v>状態変化／粒子／温度</x:v>
      </x:c>
    </x:row>
    <x:row r="38" ht="62" customHeight="1">
      <x:c r="A38" s="106" t="str">
        <x:v>CHE-002</x:v>
      </x:c>
      <x:c r="B38" s="106" t="str">
        <x:v>化学</x:v>
      </x:c>
      <x:c r="C38" s="106" t="str">
        <x:v>小4</x:v>
      </x:c>
      <x:c r="D38" s="106" t="str">
        <x:v>物質の状態</x:v>
      </x:c>
      <x:c r="E38" s="106" t="str">
        <x:v>用語</x:v>
      </x:c>
      <x:c r="F38" s="106" t="str">
        <x:v>A</x:v>
      </x:c>
      <x:c r="G38" s="106" t="n">
        <x:v>26</x:v>
      </x:c>
      <x:c r="H38" s="18" t="str">
        <x:v>状態変化</x:v>
      </x:c>
      <x:c r="I38" s="18" t="str">
        <x:v>物質が温度によって固体・液体・気体の間を変わること。物質の種類は変わらないので物理変化であり、基本的に全体の質量も変わらない。つながり：融解（ゆうかい）／気化／凝固（ぎょうこ）</x:v>
      </x:c>
      <x:c r="J38" s="18" t="str">
        <x:v>融解ゆうかい&lt;／rt&gt;&lt;／ruby&gt;／気化／凝固ぎょうこ&lt;／rt&gt;&lt;／ruby&gt;</x:v>
      </x:c>
    </x:row>
    <x:row r="39" ht="62" customHeight="1">
      <x:c r="A39" s="106" t="str">
        <x:v>CHE-008</x:v>
      </x:c>
      <x:c r="B39" s="106" t="str">
        <x:v>化学</x:v>
      </x:c>
      <x:c r="C39" s="106" t="str">
        <x:v>小4</x:v>
      </x:c>
      <x:c r="D39" s="106" t="str">
        <x:v>物質の状態</x:v>
      </x:c>
      <x:c r="E39" s="106" t="str">
        <x:v>因果</x:v>
      </x:c>
      <x:c r="F39" s="106" t="str">
        <x:v>A</x:v>
      </x:c>
      <x:c r="G39" s="106" t="str"/>
      <x:c r="H39" s="18" t="str">
        <x:v>蒸発</x:v>
      </x:c>
      <x:c r="I39" s="18" t="str">
        <x:v>液体の表面から粒子が飛び出して気体になる現象で、沸点（ふってん）より低い温度でも起こる。温度が高い、表面積が大きい、風がある、湿度が低いほど速く進む。つながり：気化／湿度／表面積</x:v>
      </x:c>
      <x:c r="J39" s="18" t="str">
        <x:v>気化／湿度／表面積</x:v>
      </x:c>
    </x:row>
    <x:row r="40" ht="62" customHeight="1">
      <x:c r="A40" s="106" t="str">
        <x:v>CHE-009</x:v>
      </x:c>
      <x:c r="B40" s="106" t="str">
        <x:v>化学</x:v>
      </x:c>
      <x:c r="C40" s="106" t="str">
        <x:v>小4</x:v>
      </x:c>
      <x:c r="D40" s="106" t="str">
        <x:v>物質の状態</x:v>
      </x:c>
      <x:c r="E40" s="106" t="str">
        <x:v>誤解対策</x:v>
      </x:c>
      <x:c r="F40" s="106" t="str">
        <x:v>A</x:v>
      </x:c>
      <x:c r="G40" s="106" t="str"/>
      <x:c r="H40" s="18" t="str">
        <x:v>沸騰</x:v>
      </x:c>
      <x:c r="I40" s="18" t="str">
        <x:v>液体内部からも気泡が生じ、液体全体で気化する現象。沸点（ふってん）は物質と気圧で決まり、純物質では沸騰中の温度がほぼ一定。水中の気泡は空気とは限らず主に水蒸気。つながり：沸点／水蒸気／気圧</x:v>
      </x:c>
      <x:c r="J40" s="18" t="str">
        <x:v>沸点／水蒸気／気圧</x:v>
      </x:c>
    </x:row>
    <x:row r="41" ht="62" customHeight="1">
      <x:c r="A41" s="106" t="str">
        <x:v>BIO-029</x:v>
      </x:c>
      <x:c r="B41" s="106" t="str">
        <x:v>生物</x:v>
      </x:c>
      <x:c r="C41" s="106" t="str">
        <x:v>小4</x:v>
      </x:c>
      <x:c r="D41" s="106" t="str">
        <x:v>季節と生物</x:v>
      </x:c>
      <x:c r="E41" s="106" t="str">
        <x:v>因果</x:v>
      </x:c>
      <x:c r="F41" s="106" t="str">
        <x:v>B</x:v>
      </x:c>
      <x:c r="G41" s="106" t="str"/>
      <x:c r="H41" s="18" t="str">
        <x:v>季節による生物の変化</x:v>
      </x:c>
      <x:c r="I41" s="18" t="str">
        <x:v>日長・気温・水分などの季節変化に応じ、発芽・開花・落葉・冬眠・渡りなどが起こる。同じ場所を同じ方法で継続観察すると、変化と環境条件の関係を比べられる。つながり：日長／気温／開花／冬眠</x:v>
      </x:c>
      <x:c r="J41" s="18" t="str">
        <x:v>日長／気温／開花／冬眠</x:v>
      </x:c>
    </x:row>
    <x:row r="42" ht="62" customHeight="1">
      <x:c r="A42" s="106" t="str">
        <x:v>BIO-034</x:v>
      </x:c>
      <x:c r="B42" s="106" t="str">
        <x:v>生物</x:v>
      </x:c>
      <x:c r="C42" s="106" t="str">
        <x:v>小4</x:v>
      </x:c>
      <x:c r="D42" s="106" t="str">
        <x:v>人体</x:v>
      </x:c>
      <x:c r="E42" s="106" t="str">
        <x:v>因果</x:v>
      </x:c>
      <x:c r="F42" s="106" t="str">
        <x:v>A</x:v>
      </x:c>
      <x:c r="G42" s="106" t="str"/>
      <x:c r="H42" s="18" t="str">
        <x:v>骨と筋肉による運動</x:v>
      </x:c>
      <x:c r="I42" s="18" t="str">
        <x:v>骨は体を支え内臓を守り、関節で動く。筋肉は縮むことはできるが自ら押し伸ばせないので、関節をはさんで反対向きにはたらく筋肉が対になり、交互に縮んで曲げ伸ばしする。つながり：骨格／関節／筋肉／腱</x:v>
      </x:c>
      <x:c r="J42" s="18" t="str">
        <x:v>骨格／関節／筋肉／腱</x:v>
      </x:c>
    </x:row>
    <x:row r="43" ht="62" customHeight="1">
      <x:c r="A43" s="106" t="str">
        <x:v>EAR-001</x:v>
      </x:c>
      <x:c r="B43" s="106" t="str">
        <x:v>地学</x:v>
      </x:c>
      <x:c r="C43" s="106" t="str">
        <x:v>小4</x:v>
      </x:c>
      <x:c r="D43" s="106" t="str">
        <x:v>気象観察</x:v>
      </x:c>
      <x:c r="E43" s="106" t="str">
        <x:v>実験</x:v>
      </x:c>
      <x:c r="F43" s="106" t="str">
        <x:v>A</x:v>
      </x:c>
      <x:c r="G43" s="106" t="str"/>
      <x:c r="H43" s="18" t="str">
        <x:v>気温の正しい測り方</x:v>
      </x:c>
      <x:c r="I43" s="18" t="str">
        <x:v>温度計の液だめを地面から約1.2〜1.5 mの高さにし、直射日光を避け、風通しのよい場所で測る。目盛りは液柱の先と目の高さをそろえて読む。温度計を手で包まない。つながり：温度計／百葉箱／直射日光／観測</x:v>
      </x:c>
      <x:c r="J43" s="18" t="str">
        <x:v>温度計／百葉箱／直射日光／観測</x:v>
      </x:c>
    </x:row>
    <x:row r="44" ht="62" customHeight="1">
      <x:c r="A44" s="106" t="str">
        <x:v>EAR-002</x:v>
      </x:c>
      <x:c r="B44" s="106" t="str">
        <x:v>地学</x:v>
      </x:c>
      <x:c r="C44" s="106" t="str">
        <x:v>小4</x:v>
      </x:c>
      <x:c r="D44" s="106" t="str">
        <x:v>気象観察</x:v>
      </x:c>
      <x:c r="E44" s="106" t="str">
        <x:v>用語</x:v>
      </x:c>
      <x:c r="F44" s="106" t="str">
        <x:v>B</x:v>
      </x:c>
      <x:c r="G44" s="106" t="str"/>
      <x:c r="H44" s="18" t="str">
        <x:v>百葉箱（ひゃくようばこ）</x:v>
      </x:c>
      <x:c r="I44" s="18" t="str">
        <x:v>気温などを正しく測るための白い箱。直射日光や雨を防ぎつつ風を通し、地面からの熱の影響も小さくする。白色は日射を吸収しにくくするため。つながり：気温／温度計／風通し／日射</x:v>
      </x:c>
      <x:c r="J44" s="18" t="str">
        <x:v>気温／温度計／風通し／日射</x:v>
      </x:c>
    </x:row>
    <x:row r="45" ht="62" customHeight="1">
      <x:c r="A45" s="106" t="str">
        <x:v>EAR-005</x:v>
      </x:c>
      <x:c r="B45" s="106" t="str">
        <x:v>地学</x:v>
      </x:c>
      <x:c r="C45" s="106" t="str">
        <x:v>小4</x:v>
      </x:c>
      <x:c r="D45" s="106" t="str">
        <x:v>水の循環</x:v>
      </x:c>
      <x:c r="E45" s="106" t="str">
        <x:v>因果</x:v>
      </x:c>
      <x:c r="F45" s="106" t="str">
        <x:v>A</x:v>
      </x:c>
      <x:c r="G45" s="106" t="n">
        <x:v>27</x:v>
      </x:c>
      <x:c r="H45" s="18" t="str">
        <x:v>自然界の水の循環</x:v>
      </x:c>
      <x:c r="I45" s="18" t="str">
        <x:v>海・地面・植物から水が蒸発・蒸散（じょうさん）し、水蒸気が冷えて雲になり、雨や雪として地上へ戻る。川や地下水として海へ流れる。水は形と場所を変えながら循環する。つながり：蒸発／凝結（ぎょうけつ）／雲／降水</x:v>
      </x:c>
      <x:c r="J45" s="18" t="str">
        <x:v>蒸発／凝結ぎょうけつ&lt;／rt&gt;&lt;／ruby&gt;／雲／降水</x:v>
      </x:c>
    </x:row>
    <x:row r="46" ht="62" customHeight="1">
      <x:c r="A46" s="106" t="str">
        <x:v>EAR-013</x:v>
      </x:c>
      <x:c r="B46" s="106" t="str">
        <x:v>地学</x:v>
      </x:c>
      <x:c r="C46" s="106" t="str">
        <x:v>小4</x:v>
      </x:c>
      <x:c r="D46" s="106" t="str">
        <x:v>月</x:v>
      </x:c>
      <x:c r="E46" s="106" t="str">
        <x:v>比較</x:v>
      </x:c>
      <x:c r="F46" s="106" t="str">
        <x:v>A</x:v>
      </x:c>
      <x:c r="G46" s="106" t="str"/>
      <x:c r="H46" s="18" t="str">
        <x:v>月の見える位置の変化</x:v>
      </x:c>
      <x:c r="I46" s="18" t="str">
        <x:v>同じ日の数時間では月は東から西へ動いて見える。一方、毎日同じ時刻に観察すると、月は前日より東側に見える。地球の自転と月の公転という別の運動を区別する。つながり：日周運動（にっしゅううんどう）／月の公転／自転／観察時刻</x:v>
      </x:c>
      <x:c r="J46" s="18" t="str">
        <x:v>日周運動にっしゅううんどう&lt;／rt&gt;&lt;／ruby&gt;／月の公転／自転／観察時刻</x:v>
      </x:c>
    </x:row>
    <x:row r="47" ht="62" customHeight="1">
      <x:c r="A47" s="106" t="str">
        <x:v>EAR-014</x:v>
      </x:c>
      <x:c r="B47" s="106" t="str">
        <x:v>地学</x:v>
      </x:c>
      <x:c r="C47" s="106" t="str">
        <x:v>小4</x:v>
      </x:c>
      <x:c r="D47" s="106" t="str">
        <x:v>星</x:v>
      </x:c>
      <x:c r="E47" s="106" t="str">
        <x:v>読図</x:v>
      </x:c>
      <x:c r="F47" s="106" t="str">
        <x:v>A</x:v>
      </x:c>
      <x:c r="G47" s="106" t="str"/>
      <x:c r="H47" s="18" t="str">
        <x:v>星の日周運動（にっしゅううんどう）</x:v>
      </x:c>
      <x:c r="I47" s="18" t="str">
        <x:v>星は時間とともに東から西へ動いて見える。星座をつくる星の並び方は保たれたまま、星座全体の位置が変わる。北の空では北極星付近を中心に反時計回りに回るように見え、主因は地球の自転である。つながり：地球の自転／北極星／日周運動（にっしゅううんどう）／星座</x:v>
      </x:c>
      <x:c r="J47" s="18" t="str">
        <x:v>地球の自転／北極星／日周運動にっしゅううんどう&lt;／rt&gt;&lt;／ruby&gt;／星座</x:v>
      </x:c>
    </x:row>
    <x:row r="48" ht="62" customHeight="1">
      <x:c r="A48" s="106" t="str">
        <x:v>EAR-175</x:v>
      </x:c>
      <x:c r="B48" s="106" t="str">
        <x:v>地学</x:v>
      </x:c>
      <x:c r="C48" s="106" t="str">
        <x:v>小4</x:v>
      </x:c>
      <x:c r="D48" s="106" t="str">
        <x:v>雨水の行方</x:v>
      </x:c>
      <x:c r="E48" s="106" t="str">
        <x:v>因果</x:v>
      </x:c>
      <x:c r="F48" s="106" t="str">
        <x:v>A</x:v>
      </x:c>
      <x:c r="G48" s="106" t="str"/>
      <x:c r="H48" s="18" t="str">
        <x:v>雨水が流れ集まる向き</x:v>
      </x:c>
      <x:c r="I48" s="18" t="str">
        <x:v>地面に降った雨水は、地面の傾きに沿って高い所から低い所へ流れ、くぼみや水路へ集まる。水たまりの位置や水の通った跡を観察すると、地面の高低を確かめられる。つながり：地面の傾き／低い所／水たまり／排水</x:v>
      </x:c>
      <x:c r="J48" s="18" t="str">
        <x:v>地面の傾き／低い所／水たまり／排水</x:v>
      </x:c>
    </x:row>
    <x:row r="49" ht="62" customHeight="1">
      <x:c r="A49" s="106" t="str">
        <x:v>EAR-176</x:v>
      </x:c>
      <x:c r="B49" s="106" t="str">
        <x:v>地学</x:v>
      </x:c>
      <x:c r="C49" s="106" t="str">
        <x:v>小4</x:v>
      </x:c>
      <x:c r="D49" s="106" t="str">
        <x:v>雨水の行方</x:v>
      </x:c>
      <x:c r="E49" s="106" t="str">
        <x:v>実験</x:v>
      </x:c>
      <x:c r="F49" s="106" t="str">
        <x:v>A</x:v>
      </x:c>
      <x:c r="G49" s="106" t="str"/>
      <x:c r="H49" s="18" t="str">
        <x:v>土の粒と水のしみ込みを比べる実験</x:v>
      </x:c>
      <x:c r="I49" s="18" t="str">
        <x:v>同じ量・厚さ・詰め方の土へ同量の水を注ぎ、しみ込む時間や通り抜けた水量を比べる。一般に粗い粒の土は隙間が大きくしみ込みやすいが、土の締まり方や混ざり方でも変わる。つながり：土の粒／隙間／しみ込み／公平な実験</x:v>
      </x:c>
      <x:c r="J49" s="18" t="str">
        <x:v>土の粒／隙間／しみ込み／公平な実験</x:v>
      </x:c>
    </x:row>
    <x:row r="50" ht="62" customHeight="1">
      <x:c r="A50" s="106" t="str">
        <x:v>EAR-177</x:v>
      </x:c>
      <x:c r="B50" s="106" t="str">
        <x:v>地学</x:v>
      </x:c>
      <x:c r="C50" s="106" t="str">
        <x:v>小4</x:v>
      </x:c>
      <x:c r="D50" s="106" t="str">
        <x:v>星</x:v>
      </x:c>
      <x:c r="E50" s="106" t="str">
        <x:v>比較</x:v>
      </x:c>
      <x:c r="F50" s="106" t="str">
        <x:v>A</x:v>
      </x:c>
      <x:c r="G50" s="106" t="str"/>
      <x:c r="H50" s="18" t="str">
        <x:v>星の明るさと色の違い</x:v>
      </x:c>
      <x:c r="I50" s="18" t="str">
        <x:v>星には明るく見えるものと暗く見えるものがあり、白・青白・黄・赤っぽいものなど色にも違いがある。同じ時刻・場所で観察し、明るさや色を記録して比べる。つながり：星／明るさ／色／星座</x:v>
      </x:c>
      <x:c r="J50" s="18" t="str">
        <x:v>星／明るさ／色／星座</x:v>
      </x:c>
    </x:row>
    <x:row r="51" ht="62" customHeight="1">
      <x:c r="A51" s="106" t="str">
        <x:v>PHY-003</x:v>
      </x:c>
      <x:c r="B51" s="106" t="str">
        <x:v>物理</x:v>
      </x:c>
      <x:c r="C51" s="106" t="str">
        <x:v>小5</x:v>
      </x:c>
      <x:c r="D51" s="106" t="str">
        <x:v>測定</x:v>
      </x:c>
      <x:c r="E51" s="106" t="str">
        <x:v>用語</x:v>
      </x:c>
      <x:c r="F51" s="106" t="str">
        <x:v>A</x:v>
      </x:c>
      <x:c r="G51" s="106" t="str"/>
      <x:c r="H51" s="18" t="str">
        <x:v>体積</x:v>
      </x:c>
      <x:c r="I51" s="18" t="str">
        <x:v>物体が占める空間の大きさ。液体はメスシリンダーで測り、単位にはmL、cm³、Lなどを使う。1 mL＝1 cm³、1 L＝1000 mLである。つながり：メスシリンダー／密度／単位換算</x:v>
      </x:c>
      <x:c r="J51" s="18" t="str">
        <x:v>メスシリンダー／密度／単位換算</x:v>
      </x:c>
    </x:row>
    <x:row r="52" ht="62" customHeight="1">
      <x:c r="A52" s="106" t="str">
        <x:v>PHY-052</x:v>
      </x:c>
      <x:c r="B52" s="106" t="str">
        <x:v>物理</x:v>
      </x:c>
      <x:c r="C52" s="106" t="str">
        <x:v>小5</x:v>
      </x:c>
      <x:c r="D52" s="106" t="str">
        <x:v>磁石</x:v>
      </x:c>
      <x:c r="E52" s="106" t="str">
        <x:v>用語</x:v>
      </x:c>
      <x:c r="F52" s="106" t="str">
        <x:v>A</x:v>
      </x:c>
      <x:c r="G52" s="106" t="str"/>
      <x:c r="H52" s="18" t="str">
        <x:v>電磁石</x:v>
      </x:c>
      <x:c r="I52" s="18" t="str">
        <x:v>鉄心に巻いたコイルへ電流を流して磁石にしたもの。電流を止めると磁力がほぼなくなり、電流の向きを逆にするとN極とS極が入れ替わる。つながり：コイル／電流／鉄心</x:v>
      </x:c>
      <x:c r="J52" s="18" t="str">
        <x:v>コイル／電流／鉄心</x:v>
      </x:c>
    </x:row>
    <x:row r="53" ht="62" customHeight="1">
      <x:c r="A53" s="106" t="str">
        <x:v>PHY-053</x:v>
      </x:c>
      <x:c r="B53" s="106" t="str">
        <x:v>物理</x:v>
      </x:c>
      <x:c r="C53" s="106" t="str">
        <x:v>小5</x:v>
      </x:c>
      <x:c r="D53" s="106" t="str">
        <x:v>磁石</x:v>
      </x:c>
      <x:c r="E53" s="106" t="str">
        <x:v>因果</x:v>
      </x:c>
      <x:c r="F53" s="106" t="str">
        <x:v>A</x:v>
      </x:c>
      <x:c r="G53" s="106" t="str"/>
      <x:c r="H53" s="18" t="str">
        <x:v>電磁石を強くする方法</x:v>
      </x:c>
      <x:c r="I53" s="18" t="str">
        <x:v>コイルの巻き数を増やす、流す電流を大きくする、適切な鉄心を入れると強くなる。乾電池を増やすなら向きをそろえた直列つなぎにする。つながり：巻き数／電流／鉄心</x:v>
      </x:c>
      <x:c r="J53" s="18" t="str">
        <x:v>巻き数／電流／鉄心</x:v>
      </x:c>
    </x:row>
    <x:row r="54" ht="62" customHeight="1">
      <x:c r="A54" s="106" t="str">
        <x:v>PHY-161</x:v>
      </x:c>
      <x:c r="B54" s="106" t="str">
        <x:v>物理</x:v>
      </x:c>
      <x:c r="C54" s="106" t="str">
        <x:v>小5</x:v>
      </x:c>
      <x:c r="D54" s="106" t="str">
        <x:v>振り子の運動</x:v>
      </x:c>
      <x:c r="E54" s="106" t="str">
        <x:v>用語</x:v>
      </x:c>
      <x:c r="F54" s="106" t="str">
        <x:v>A</x:v>
      </x:c>
      <x:c r="G54" s="106" t="str"/>
      <x:c r="H54" s="18" t="str">
        <x:v>振り子の1往復</x:v>
      </x:c>
      <x:c r="I54" s="18" t="str">
        <x:v>振り子が一方の端から反対側の端へ行き、再び元の端へ戻るまでが1往復。中央を通過しただけでは半往復であり、数え始める位置をそろえる。つながり：振り子／周期／往復回数</x:v>
      </x:c>
      <x:c r="J54" s="18" t="str">
        <x:v>振り子／周期／往復回数</x:v>
      </x:c>
    </x:row>
    <x:row r="55" ht="62" customHeight="1">
      <x:c r="A55" s="106" t="str">
        <x:v>PHY-162</x:v>
      </x:c>
      <x:c r="B55" s="106" t="str">
        <x:v>物理</x:v>
      </x:c>
      <x:c r="C55" s="106" t="str">
        <x:v>小5</x:v>
      </x:c>
      <x:c r="D55" s="106" t="str">
        <x:v>振り子の運動</x:v>
      </x:c>
      <x:c r="E55" s="106" t="str">
        <x:v>計算</x:v>
      </x:c>
      <x:c r="F55" s="106" t="str">
        <x:v>A</x:v>
      </x:c>
      <x:c r="G55" s="106" t="str"/>
      <x:c r="H55" s="18" t="str">
        <x:v>振り子の周期</x:v>
      </x:c>
      <x:c r="I55" s="18" t="str">
        <x:v>振り子が1往復する時間。例えば10往復に18.0秒かかったなら、周期は18.0÷10＝1.80秒。往復数ではなく片道の回数で割らない。つながり：1往復／時間／往復回数</x:v>
      </x:c>
      <x:c r="J55" s="18" t="str">
        <x:v>1往復／時間／往復回数</x:v>
      </x:c>
    </x:row>
    <x:row r="56" ht="62" customHeight="1">
      <x:c r="A56" s="106" t="str">
        <x:v>PHY-163</x:v>
      </x:c>
      <x:c r="B56" s="106" t="str">
        <x:v>物理</x:v>
      </x:c>
      <x:c r="C56" s="106" t="str">
        <x:v>小5</x:v>
      </x:c>
      <x:c r="D56" s="106" t="str">
        <x:v>振り子の運動</x:v>
      </x:c>
      <x:c r="E56" s="106" t="str">
        <x:v>因果</x:v>
      </x:c>
      <x:c r="F56" s="106" t="str">
        <x:v>A</x:v>
      </x:c>
      <x:c r="G56" s="106" t="str"/>
      <x:c r="H56" s="18" t="str">
        <x:v>振り子の周期を変える条件</x:v>
      </x:c>
      <x:c r="I56" s="18" t="str">
        <x:v>糸が長い振り子ほど周期は長くなる。比べる長さは支点（してん）からおもりの中心までとし、おもりの重さや最初の振れ幅などはそろえて調べる。つながり：振り子の長さ／周期／条件制御</x:v>
      </x:c>
      <x:c r="J56" s="18" t="str">
        <x:v>振り子の長さ／周期／条件制御</x:v>
      </x:c>
    </x:row>
    <x:row r="57" ht="62" customHeight="1">
      <x:c r="A57" s="106" t="str">
        <x:v>PHY-164</x:v>
      </x:c>
      <x:c r="B57" s="106" t="str">
        <x:v>物理</x:v>
      </x:c>
      <x:c r="C57" s="106" t="str">
        <x:v>小5</x:v>
      </x:c>
      <x:c r="D57" s="106" t="str">
        <x:v>振り子の運動</x:v>
      </x:c>
      <x:c r="E57" s="106" t="str">
        <x:v>誤解対策</x:v>
      </x:c>
      <x:c r="F57" s="106" t="str">
        <x:v>A</x:v>
      </x:c>
      <x:c r="G57" s="106" t="str"/>
      <x:c r="H57" s="18" t="str">
        <x:v>振り子の周期を変えない条件</x:v>
      </x:c>
      <x:c r="I57" s="18" t="str">
        <x:v>小学校で扱う範囲では、振り子の長さが同じなら、おもりの重さを変えても周期は変わらない。振れ幅も極端に大きくなければ、周期への影響はほとんどないとして扱う。つながり：おもりの重さ／振れ幅／振り子の長さ</x:v>
      </x:c>
      <x:c r="J57" s="18" t="str">
        <x:v>おもりの重さ／振れ幅／振り子の長さ</x:v>
      </x:c>
    </x:row>
    <x:row r="58" ht="62" customHeight="1">
      <x:c r="A58" s="106" t="str">
        <x:v>CHE-012</x:v>
      </x:c>
      <x:c r="B58" s="106" t="str">
        <x:v>化学</x:v>
      </x:c>
      <x:c r="C58" s="106" t="str">
        <x:v>小5</x:v>
      </x:c>
      <x:c r="D58" s="106" t="str">
        <x:v>水溶液</x:v>
      </x:c>
      <x:c r="E58" s="106" t="str">
        <x:v>誤解対策</x:v>
      </x:c>
      <x:c r="F58" s="106" t="str">
        <x:v>A</x:v>
      </x:c>
      <x:c r="G58" s="106" t="n">
        <x:v>28</x:v>
      </x:c>
      <x:c r="H58" s="18" t="str">
        <x:v>溶ける</x:v>
      </x:c>
      <x:c r="I58" s="18" t="str">
        <x:v>物質の粒子が液体中へ均一に広がり、見えない大きさで混ざること。なくなったのではなく、溶液を蒸発させれば多くの場合取り出せる。沈んだだけ、融けただけとは異なる。つながり：溶解／水溶液／結晶</x:v>
      </x:c>
      <x:c r="J58" s="18" t="str">
        <x:v>溶解／水溶液／結晶</x:v>
      </x:c>
    </x:row>
    <x:row r="59" ht="62" customHeight="1">
      <x:c r="A59" s="106" t="str">
        <x:v>CHE-014</x:v>
      </x:c>
      <x:c r="B59" s="106" t="str">
        <x:v>化学</x:v>
      </x:c>
      <x:c r="C59" s="106" t="str">
        <x:v>小5</x:v>
      </x:c>
      <x:c r="D59" s="106" t="str">
        <x:v>水溶液</x:v>
      </x:c>
      <x:c r="E59" s="106" t="str">
        <x:v>誤解対策</x:v>
      </x:c>
      <x:c r="F59" s="106" t="str">
        <x:v>A</x:v>
      </x:c>
      <x:c r="G59" s="106" t="str"/>
      <x:c r="H59" s="18" t="str">
        <x:v>水溶液の均一性と透明性</x:v>
      </x:c>
      <x:c r="I59" s="18" t="str">
        <x:v>溶質（ようしつ）が水中へ均一に広がり、どの部分も同じ濃さの透明な液体が水溶液。色があっても透明なものがあり、「無色」とは別。温度・水量が変わらず溶解度（ようかいど）以内なら溶質だけが沈まない。つながり：均一／透明／溶質</x:v>
      </x:c>
      <x:c r="J59" s="18" t="str">
        <x:v>均一／透明／溶質</x:v>
      </x:c>
    </x:row>
    <x:row r="60" ht="62" customHeight="1">
      <x:c r="A60" s="106" t="str">
        <x:v>CHE-015</x:v>
      </x:c>
      <x:c r="B60" s="106" t="str">
        <x:v>化学</x:v>
      </x:c>
      <x:c r="C60" s="106" t="str">
        <x:v>小5</x:v>
      </x:c>
      <x:c r="D60" s="106" t="str">
        <x:v>水溶液</x:v>
      </x:c>
      <x:c r="E60" s="106" t="str">
        <x:v>計算</x:v>
      </x:c>
      <x:c r="F60" s="106" t="str">
        <x:v>A</x:v>
      </x:c>
      <x:c r="G60" s="106" t="str"/>
      <x:c r="H60" s="18" t="str">
        <x:v>溶解と質量保存</x:v>
      </x:c>
      <x:c r="I60" s="18" t="str">
        <x:v>溶質（ようしつ）を水に完全に溶かしても、溶液の質量＝溶質の質量＋水の質量。粒子が見えなくなるだけで消滅しない。こぼれたり気体が逃げたりしない条件で成り立つ。つながり：質量保存／粒子／水溶液</x:v>
      </x:c>
      <x:c r="J60" s="18" t="str">
        <x:v>質量保存／粒子／水溶液</x:v>
      </x:c>
    </x:row>
    <x:row r="61" ht="62" customHeight="1">
      <x:c r="A61" s="106" t="str">
        <x:v>CHE-018</x:v>
      </x:c>
      <x:c r="B61" s="106" t="str">
        <x:v>化学</x:v>
      </x:c>
      <x:c r="C61" s="106" t="str">
        <x:v>小5</x:v>
      </x:c>
      <x:c r="D61" s="106" t="str">
        <x:v>水溶液</x:v>
      </x:c>
      <x:c r="E61" s="106" t="str">
        <x:v>実験</x:v>
      </x:c>
      <x:c r="F61" s="106" t="str">
        <x:v>A</x:v>
      </x:c>
      <x:c r="G61" s="106" t="str"/>
      <x:c r="H61" s="18" t="str">
        <x:v>蒸発による取り出し</x:v>
      </x:c>
      <x:c r="I61" s="18" t="str">
        <x:v>溶液から溶媒（ようばい）を気化させ、溶質（ようしつ）を残す操作。食塩水から食塩を得られる。強く加熱すると飛散するため、少量になったら弱め、蒸発皿を冷ましてから扱う。つながり：結晶／気化／溶質</x:v>
      </x:c>
      <x:c r="J61" s="18" t="str">
        <x:v>結晶／気化／溶質</x:v>
      </x:c>
    </x:row>
    <x:row r="62" ht="62" customHeight="1">
      <x:c r="A62" s="106" t="str">
        <x:v>CHE-019</x:v>
      </x:c>
      <x:c r="B62" s="106" t="str">
        <x:v>化学</x:v>
      </x:c>
      <x:c r="C62" s="106" t="str">
        <x:v>小5</x:v>
      </x:c>
      <x:c r="D62" s="106" t="str">
        <x:v>水溶液</x:v>
      </x:c>
      <x:c r="E62" s="106" t="str">
        <x:v>用語</x:v>
      </x:c>
      <x:c r="F62" s="106" t="str">
        <x:v>A</x:v>
      </x:c>
      <x:c r="G62" s="106" t="str"/>
      <x:c r="H62" s="18" t="str">
        <x:v>結晶</x:v>
      </x:c>
      <x:c r="I62" s="18" t="str">
        <x:v>原子・分子・イオンなどが規則正しく並んだ固体。水溶液を冷やす、または水を蒸発させて溶質（ようしつ）を取り出すとできる。物質ごとに特徴的な形を示すことがある。つながり：再結晶（さいけっしょう）／溶解度（ようかいど）／粒子</x:v>
      </x:c>
      <x:c r="J62" s="18" t="str">
        <x:v>再結晶さいけっしょう&lt;／rt&gt;&lt;／ruby&gt;／溶解度ようかいど&lt;／rt&gt;&lt;／ruby&gt;／粒子</x:v>
      </x:c>
    </x:row>
    <x:row r="63" ht="62" customHeight="1">
      <x:c r="A63" s="106" t="str">
        <x:v>BIO-004</x:v>
      </x:c>
      <x:c r="B63" s="106" t="str">
        <x:v>生物</x:v>
      </x:c>
      <x:c r="C63" s="106" t="str">
        <x:v>小5</x:v>
      </x:c>
      <x:c r="D63" s="106" t="str">
        <x:v>種子の発芽</x:v>
      </x:c>
      <x:c r="E63" s="106" t="str">
        <x:v>用語</x:v>
      </x:c>
      <x:c r="F63" s="106" t="str">
        <x:v>A</x:v>
      </x:c>
      <x:c r="G63" s="106" t="str"/>
      <x:c r="H63" s="18" t="str">
        <x:v>発芽（はつが）</x:v>
      </x:c>
      <x:c r="I63" s="18" t="str">
        <x:v>種子から根や芽が出て成長を始めること。発芽に必要なのは適当な温度・水・空気（酸素）で、光や土は一般に必須ではない。条件を一つずつ変える対照実験（たいしょうじっけん）で確かめる。つながり：種子／水／酸素／対照実験</x:v>
      </x:c>
      <x:c r="J63" s="18" t="str">
        <x:v>種子／水／酸素／対照実験</x:v>
      </x:c>
    </x:row>
    <x:row r="64" ht="62" customHeight="1">
      <x:c r="A64" s="106" t="str">
        <x:v>BIO-005</x:v>
      </x:c>
      <x:c r="B64" s="106" t="str">
        <x:v>生物</x:v>
      </x:c>
      <x:c r="C64" s="106" t="str">
        <x:v>小5</x:v>
      </x:c>
      <x:c r="D64" s="106" t="str">
        <x:v>種子の発芽</x:v>
      </x:c>
      <x:c r="E64" s="106" t="str">
        <x:v>実験</x:v>
      </x:c>
      <x:c r="F64" s="106" t="str">
        <x:v>A</x:v>
      </x:c>
      <x:c r="G64" s="106" t="str"/>
      <x:c r="H64" s="18" t="str">
        <x:v>発芽条件を調べる実験</x:v>
      </x:c>
      <x:c r="I64" s="18" t="str">
        <x:v>調べたい条件だけを変え、種子の種類・数・置く期間などをそろえる。水の有無、空気の有無、温度の違いを別々に比べる。結果が一粒だけでは偶然の影響が大きいので、複数の種子を使う。つながり：発芽／対照実験（たいしょうじっけん）／変える条件／そろえる条件</x:v>
      </x:c>
      <x:c r="J64" s="18" t="str">
        <x:v>発芽／対照実験たいしょうじっけん&lt;／rt&gt;&lt;／ruby&gt;／変える条件／そろえる条件</x:v>
      </x:c>
    </x:row>
    <x:row r="65" ht="62" customHeight="1">
      <x:c r="A65" s="106" t="str">
        <x:v>BIO-006</x:v>
      </x:c>
      <x:c r="B65" s="106" t="str">
        <x:v>生物</x:v>
      </x:c>
      <x:c r="C65" s="106" t="str">
        <x:v>小5</x:v>
      </x:c>
      <x:c r="D65" s="106" t="str">
        <x:v>種子のつくり</x:v>
      </x:c>
      <x:c r="E65" s="106" t="str">
        <x:v>用語</x:v>
      </x:c>
      <x:c r="F65" s="106" t="str">
        <x:v>A</x:v>
      </x:c>
      <x:c r="G65" s="106" t="str"/>
      <x:c r="H65" s="18" t="str">
        <x:v>子葉（しよう）</x:v>
      </x:c>
      <x:c r="I65" s="18" t="str">
        <x:v>種子の胚（はい）に含まれる最初の葉。発芽後に地上へ出るものも、種子内に残るものもある。インゲンマメでは厚い子葉に養分が蓄えられ、トウモロコシでは主な養分は胚乳（はいにゅう）にあり、子葉は1枚である。つながり：胚乳／発芽／双子葉類（そうしようるい）／単子葉類（たんしようるい）</x:v>
      </x:c>
      <x:c r="J65" s="18" t="str">
        <x:v>胚乳／発芽／双子葉類そうしようるい&lt;／rt&gt;&lt;／ruby&gt;／単子葉類たんしようるい&lt;／rt&gt;&lt;／ruby&gt;</x:v>
      </x:c>
    </x:row>
    <x:row r="66" ht="62" customHeight="1">
      <x:c r="A66" s="106" t="str">
        <x:v>BIO-007</x:v>
      </x:c>
      <x:c r="B66" s="106" t="str">
        <x:v>生物</x:v>
      </x:c>
      <x:c r="C66" s="106" t="str">
        <x:v>小5</x:v>
      </x:c>
      <x:c r="D66" s="106" t="str">
        <x:v>種子のつくり</x:v>
      </x:c>
      <x:c r="E66" s="106" t="str">
        <x:v>因果</x:v>
      </x:c>
      <x:c r="F66" s="106" t="str">
        <x:v>A</x:v>
      </x:c>
      <x:c r="G66" s="106" t="str"/>
      <x:c r="H66" s="18" t="str">
        <x:v>種子に蓄えられた養分</x:v>
      </x:c>
      <x:c r="I66" s="18" t="str">
        <x:v>発芽直後はまだ十分に光合成できないため、種子内のデンプン・脂肪・タンパク質などを呼吸で利用する。ヨウ素液で青紫色になればデンプンがあると分かる。つながり：デンプン／ヨウ素液／呼吸／発芽</x:v>
      </x:c>
      <x:c r="J66" s="18" t="str">
        <x:v>デンプン／ヨウ素液／呼吸／発芽</x:v>
      </x:c>
    </x:row>
    <x:row r="67" ht="62" customHeight="1">
      <x:c r="A67" s="106" t="str">
        <x:v>BIO-008</x:v>
      </x:c>
      <x:c r="B67" s="106" t="str">
        <x:v>生物</x:v>
      </x:c>
      <x:c r="C67" s="106" t="str">
        <x:v>小5</x:v>
      </x:c>
      <x:c r="D67" s="106" t="str">
        <x:v>植物の成長</x:v>
      </x:c>
      <x:c r="E67" s="106" t="str">
        <x:v>因果</x:v>
      </x:c>
      <x:c r="F67" s="106" t="str">
        <x:v>A</x:v>
      </x:c>
      <x:c r="G67" s="106" t="str"/>
      <x:c r="H67" s="18" t="str">
        <x:v>発芽後に植物が大きくなる条件</x:v>
      </x:c>
      <x:c r="I67" s="18" t="str">
        <x:v>発芽後の植物は、根から水と無機養分を吸収し、葉で光合成して有機物をつくる。十分な光・水・適温に加え、長く育つには無機養分も必要である。つながり：光合成／根／水／無機養分</x:v>
      </x:c>
      <x:c r="J67" s="18" t="str">
        <x:v>光合成／根／水／無機養分</x:v>
      </x:c>
    </x:row>
    <x:row r="68" ht="62" customHeight="1">
      <x:c r="A68" s="106" t="str">
        <x:v>BIO-017</x:v>
      </x:c>
      <x:c r="B68" s="106" t="str">
        <x:v>生物</x:v>
      </x:c>
      <x:c r="C68" s="106" t="str">
        <x:v>小5</x:v>
      </x:c>
      <x:c r="D68" s="106" t="str">
        <x:v>花と実</x:v>
      </x:c>
      <x:c r="E68" s="106" t="str">
        <x:v>用語</x:v>
      </x:c>
      <x:c r="F68" s="106" t="str">
        <x:v>A</x:v>
      </x:c>
      <x:c r="G68" s="106" t="str"/>
      <x:c r="H68" s="18" t="str">
        <x:v>花の基本的なつくり</x:v>
      </x:c>
      <x:c r="I68" s="18" t="str">
        <x:v>外側から、がく・花弁・おしべ・めしべが基本である。おしべのやくで花粉ができ、めしべの先端の柱頭に花粉がつくと受粉（じゅふん）する。つながり：がく／花弁／おしべ／めしべ</x:v>
      </x:c>
      <x:c r="J68" s="18" t="str">
        <x:v>がく／花弁／おしべ／めしべ</x:v>
      </x:c>
    </x:row>
    <x:row r="69" ht="62" customHeight="1">
      <x:c r="A69" s="106" t="str">
        <x:v>BIO-018</x:v>
      </x:c>
      <x:c r="B69" s="106" t="str">
        <x:v>生物</x:v>
      </x:c>
      <x:c r="C69" s="106" t="str">
        <x:v>小5</x:v>
      </x:c>
      <x:c r="D69" s="106" t="str">
        <x:v>花と実</x:v>
      </x:c>
      <x:c r="E69" s="106" t="str">
        <x:v>用語</x:v>
      </x:c>
      <x:c r="F69" s="106" t="str">
        <x:v>A</x:v>
      </x:c>
      <x:c r="G69" s="106" t="str"/>
      <x:c r="H69" s="18" t="str">
        <x:v>受粉（じゅふん）</x:v>
      </x:c>
      <x:c r="I69" s="18" t="str">
        <x:v>おしべのやくでできた花粉が、めしべの柱頭につくこと。虫・風・鳥などが花粉を運ぶ。受粉（じゅふん）後に受精（じゅせい）が起こると、胚珠（はいしゅ）は種子に、子房（しぼう）は果実になる。つながり：花粉／柱頭／受精／種子</x:v>
      </x:c>
      <x:c r="J69" s="18" t="str">
        <x:v>花粉／柱頭／受精／種子</x:v>
      </x:c>
    </x:row>
    <x:row r="70" ht="62" customHeight="1">
      <x:c r="A70" s="106" t="str">
        <x:v>BIO-019</x:v>
      </x:c>
      <x:c r="B70" s="106" t="str">
        <x:v>生物</x:v>
      </x:c>
      <x:c r="C70" s="106" t="str">
        <x:v>小5</x:v>
      </x:c>
      <x:c r="D70" s="106" t="str">
        <x:v>花と実</x:v>
      </x:c>
      <x:c r="E70" s="106" t="str">
        <x:v>因果</x:v>
      </x:c>
      <x:c r="F70" s="106" t="str">
        <x:v>A</x:v>
      </x:c>
      <x:c r="G70" s="106" t="str"/>
      <x:c r="H70" s="18" t="str">
        <x:v>果実と種子のでき方</x:v>
      </x:c>
      <x:c r="I70" s="18" t="str">
        <x:v>受粉（じゅふん）後、花粉から花粉管が伸びて受精（じゅせい）が起こる。めしべの子房（しぼう）が果実に、子房内の胚珠（はいしゅ）が種子になる。リンゴの食べる部分の多くのように、子房以外が発達する例もある。つながり：子房／胚珠／受粉／受精</x:v>
      </x:c>
      <x:c r="J70" s="18" t="str">
        <x:v>子房／胚珠／受粉／受精</x:v>
      </x:c>
    </x:row>
    <x:row r="71" ht="62" customHeight="1">
      <x:c r="A71" s="106" t="str">
        <x:v>BIO-023</x:v>
      </x:c>
      <x:c r="B71" s="106" t="str">
        <x:v>生物</x:v>
      </x:c>
      <x:c r="C71" s="106" t="str">
        <x:v>小5</x:v>
      </x:c>
      <x:c r="D71" s="106" t="str">
        <x:v>動物の成長</x:v>
      </x:c>
      <x:c r="E71" s="106" t="str">
        <x:v>用語</x:v>
      </x:c>
      <x:c r="F71" s="106" t="str">
        <x:v>B</x:v>
      </x:c>
      <x:c r="G71" s="106" t="str"/>
      <x:c r="H71" s="18" t="str">
        <x:v>メダカの受精（じゅせい）と発生</x:v>
      </x:c>
      <x:c r="I71" s="18" t="str">
        <x:v>雄の精子と雌の卵が体外で受精（じゅせい）し、受精卵の中で心臓・血管・目などができて孵化（ふか）する。水温が適切なら発生が進むが、日数は温度で変わる。つながり：受精卵／体外受精／発生／孵化</x:v>
      </x:c>
      <x:c r="J71" s="18" t="str">
        <x:v>受精卵／体外受精／発生／孵化</x:v>
      </x:c>
    </x:row>
    <x:row r="72" ht="62" customHeight="1">
      <x:c r="A72" s="106" t="str">
        <x:v>BIO-024</x:v>
      </x:c>
      <x:c r="B72" s="106" t="str">
        <x:v>生物</x:v>
      </x:c>
      <x:c r="C72" s="106" t="str">
        <x:v>小5</x:v>
      </x:c>
      <x:c r="D72" s="106" t="str">
        <x:v>動物の成長</x:v>
      </x:c>
      <x:c r="E72" s="106" t="str">
        <x:v>因果</x:v>
      </x:c>
      <x:c r="F72" s="106" t="str">
        <x:v>A</x:v>
      </x:c>
      <x:c r="G72" s="106" t="str"/>
      <x:c r="H72" s="18" t="str">
        <x:v>人の誕生まで</x:v>
      </x:c>
      <x:c r="I72" s="18" t="str">
        <x:v>精子と卵が受精（じゅせい）して受精卵となり、細胞分裂を繰り返して子宮内で育つ。胎児は胎盤とへその緒を通じ、母体から酸素と養分を受け取り、二酸化（さんか）炭素などを渡す。血液そのものが直接混ざるわけではない。つながり：受精卵／子宮／胎盤／へその緒</x:v>
      </x:c>
      <x:c r="J72" s="18" t="str">
        <x:v>受精卵／子宮／胎盤／へその緒</x:v>
      </x:c>
    </x:row>
    <x:row r="73" ht="62" customHeight="1">
      <x:c r="A73" s="106" t="str">
        <x:v>EAR-003</x:v>
      </x:c>
      <x:c r="B73" s="106" t="str">
        <x:v>地学</x:v>
      </x:c>
      <x:c r="C73" s="106" t="str">
        <x:v>小5</x:v>
      </x:c>
      <x:c r="D73" s="106" t="str">
        <x:v>気象観察</x:v>
      </x:c>
      <x:c r="E73" s="106" t="str">
        <x:v>用語</x:v>
      </x:c>
      <x:c r="F73" s="106" t="str">
        <x:v>B</x:v>
      </x:c>
      <x:c r="G73" s="106" t="str"/>
      <x:c r="H73" s="18" t="str">
        <x:v>天気と雲量</x:v>
      </x:c>
      <x:c r="I73" s="18" t="str">
        <x:v>空全体を10とした雲の覆う割合が雲量。降水・雷・霧など他の天気現象がないとき、気象庁の観測では雲量0〜1が快晴、2〜8が晴れ、9〜10がくもり。雲の種類ではなく覆う割合で区分する。つながり：雲量／快晴／晴れ／曇り</x:v>
      </x:c>
      <x:c r="J73" s="18" t="str">
        <x:v>雲量／快晴／晴れ／曇り</x:v>
      </x:c>
    </x:row>
    <x:row r="74" ht="62" customHeight="1">
      <x:c r="A74" s="106" t="str">
        <x:v>EAR-004</x:v>
      </x:c>
      <x:c r="B74" s="106" t="str">
        <x:v>地学</x:v>
      </x:c>
      <x:c r="C74" s="106" t="str">
        <x:v>小5</x:v>
      </x:c>
      <x:c r="D74" s="106" t="str">
        <x:v>気象観察</x:v>
      </x:c>
      <x:c r="E74" s="106" t="str">
        <x:v>計算</x:v>
      </x:c>
      <x:c r="F74" s="106" t="str">
        <x:v>A</x:v>
      </x:c>
      <x:c r="G74" s="106" t="str"/>
      <x:c r="H74" s="18" t="str">
        <x:v>雨量</x:v>
      </x:c>
      <x:c r="I74" s="18" t="str">
        <x:v>降った雨が流れたりしみ込んだりせず水平面にたまったと仮定した水の深さで、mmで表す。雨量10 mmは、1 m²あたり10 Lの水に相当する。つながり：雨量計／降水量／体積／天気</x:v>
      </x:c>
      <x:c r="J74" s="18" t="str">
        <x:v>雨量計／降水量／体積／天気</x:v>
      </x:c>
    </x:row>
    <x:row r="75" ht="62" customHeight="1">
      <x:c r="A75" s="106" t="str">
        <x:v>EAR-007</x:v>
      </x:c>
      <x:c r="B75" s="106" t="str">
        <x:v>地学</x:v>
      </x:c>
      <x:c r="C75" s="106" t="str">
        <x:v>小5</x:v>
      </x:c>
      <x:c r="D75" s="106" t="str">
        <x:v>風</x:v>
      </x:c>
      <x:c r="E75" s="106" t="str">
        <x:v>用語</x:v>
      </x:c>
      <x:c r="F75" s="106" t="str">
        <x:v>A</x:v>
      </x:c>
      <x:c r="G75" s="106" t="str"/>
      <x:c r="H75" s="18" t="str">
        <x:v>風向と風力</x:v>
      </x:c>
      <x:c r="I75" s="18" t="str">
        <x:v>風向は風が吹いてくる方向を表すので、北風は北から南へ吹く。風力は風の強さ。風向計と風速計を用い、周囲の建物の影響が少ない場所で測る。つながり：風向計／風速計／北風／気圧</x:v>
      </x:c>
      <x:c r="J75" s="18" t="str">
        <x:v>風向計／風速計／北風／気圧</x:v>
      </x:c>
    </x:row>
    <x:row r="76" ht="62" customHeight="1">
      <x:c r="A76" s="106" t="str">
        <x:v>EAR-008</x:v>
      </x:c>
      <x:c r="B76" s="106" t="str">
        <x:v>地学</x:v>
      </x:c>
      <x:c r="C76" s="106" t="str">
        <x:v>小5</x:v>
      </x:c>
      <x:c r="D76" s="106" t="str">
        <x:v>天気変化</x:v>
      </x:c>
      <x:c r="E76" s="106" t="str">
        <x:v>因果</x:v>
      </x:c>
      <x:c r="F76" s="106" t="str">
        <x:v>B</x:v>
      </x:c>
      <x:c r="G76" s="106" t="str"/>
      <x:c r="H76" s="18" t="str">
        <x:v>天気が西から東へ変わりやすい理由</x:v>
      </x:c>
      <x:c r="I76" s="18" t="str">
        <x:v>日本付近では上空の風や低気圧・前線（ぜんせん）が西から東へ移動することが多いため。雲画像を時間順に比べると移動を読み取れる。ただし台風など例外もある。つながり：偏西風／低気圧／前線／気象衛星（えいせい）</x:v>
      </x:c>
      <x:c r="J76" s="18" t="str">
        <x:v>偏西風／低気圧／前線／気象衛星えいせい&lt;／rt&gt;&lt;／ruby&gt;</x:v>
      </x:c>
    </x:row>
    <x:row r="77" ht="62" customHeight="1">
      <x:c r="A77" s="106" t="str">
        <x:v>EAR-009</x:v>
      </x:c>
      <x:c r="B77" s="106" t="str">
        <x:v>地学</x:v>
      </x:c>
      <x:c r="C77" s="106" t="str">
        <x:v>小5</x:v>
      </x:c>
      <x:c r="D77" s="106" t="str">
        <x:v>台風</x:v>
      </x:c>
      <x:c r="E77" s="106" t="str">
        <x:v>用語</x:v>
      </x:c>
      <x:c r="F77" s="106" t="str">
        <x:v>B</x:v>
      </x:c>
      <x:c r="G77" s="106" t="str"/>
      <x:c r="H77" s="18" t="str">
        <x:v>台風への備え</x:v>
      </x:c>
      <x:c r="I77" s="18" t="str">
        <x:v>強風・大雨・高潮・高波をもたらす。接近前に予報とハザードマップを確認し、物を固定し、避難経路を確かめる。川や海へ見に行かず、警戒レベルに従い明るいうちに避難する。つながり：大雨／高潮／ハザードマップ／避難</x:v>
      </x:c>
      <x:c r="J77" s="18" t="str">
        <x:v>大雨／高潮／ハザードマップ／避難</x:v>
      </x:c>
    </x:row>
    <x:row r="78" ht="62" customHeight="1">
      <x:c r="A78" s="106" t="str">
        <x:v>EAR-016</x:v>
      </x:c>
      <x:c r="B78" s="106" t="str">
        <x:v>地学</x:v>
      </x:c>
      <x:c r="C78" s="106" t="str">
        <x:v>小5</x:v>
      </x:c>
      <x:c r="D78" s="106" t="str">
        <x:v>流水のはたらき</x:v>
      </x:c>
      <x:c r="E78" s="106" t="str">
        <x:v>用語</x:v>
      </x:c>
      <x:c r="F78" s="106" t="str">
        <x:v>A</x:v>
      </x:c>
      <x:c r="G78" s="106" t="n">
        <x:v>29</x:v>
      </x:c>
      <x:c r="H78" s="18" t="str">
        <x:v>流水の3つのはたらき</x:v>
      </x:c>
      <x:c r="I78" s="18" t="str">
        <x:v>流れる水が地面を削る侵食（しんしょく）、土砂を運ぶ運搬（うんぱん）、流れが弱い場所に積もらせる堆積（たいせき）。流速が大きいほど一般に大きな粒も運べる。つながり：侵食／運搬／堆積／流速</x:v>
      </x:c>
      <x:c r="J78" s="18" t="str">
        <x:v>侵食／運搬／堆積／流速</x:v>
      </x:c>
    </x:row>
    <x:row r="79" ht="62" customHeight="1">
      <x:c r="A79" s="106" t="str">
        <x:v>EAR-017</x:v>
      </x:c>
      <x:c r="B79" s="106" t="str">
        <x:v>地学</x:v>
      </x:c>
      <x:c r="C79" s="106" t="str">
        <x:v>小5</x:v>
      </x:c>
      <x:c r="D79" s="106" t="str">
        <x:v>流水のはたらき</x:v>
      </x:c>
      <x:c r="E79" s="106" t="str">
        <x:v>比較</x:v>
      </x:c>
      <x:c r="F79" s="106" t="str">
        <x:v>A</x:v>
      </x:c>
      <x:c r="G79" s="106" t="str"/>
      <x:c r="H79" s="18" t="str">
        <x:v>川の上流・中流・下流</x:v>
      </x:c>
      <x:c r="I79" s="18" t="str">
        <x:v>上流は傾斜が急で侵食（しんしょく）が盛ん、角ばった大きな石が多い。下流ほど傾斜が緩く流れも穏やかになり、丸く小さな粒や砂・泥が堆積（たいせき）しやすい。つながり：侵食／運搬（うんぱん）／堆積／河口</x:v>
      </x:c>
      <x:c r="J79" s="18" t="str">
        <x:v>侵食／運搬うんぱん&lt;／rt&gt;&lt;／ruby&gt;／堆積／河口</x:v>
      </x:c>
    </x:row>
    <x:row r="80" ht="62" customHeight="1">
      <x:c r="A80" s="106" t="str">
        <x:v>EAR-018</x:v>
      </x:c>
      <x:c r="B80" s="106" t="str">
        <x:v>地学</x:v>
      </x:c>
      <x:c r="C80" s="106" t="str">
        <x:v>小5</x:v>
      </x:c>
      <x:c r="D80" s="106" t="str">
        <x:v>流水のはたらき</x:v>
      </x:c>
      <x:c r="E80" s="106" t="str">
        <x:v>読図</x:v>
      </x:c>
      <x:c r="F80" s="106" t="str">
        <x:v>A</x:v>
      </x:c>
      <x:c r="G80" s="106" t="str"/>
      <x:c r="H80" s="18" t="str">
        <x:v>川の曲がりの内側と外側</x:v>
      </x:c>
      <x:c r="I80" s="18" t="str">
        <x:v>曲がりの外側は流れが速く岸が侵食（しんしょく）されやすい。内側は流れが遅く砂や小石が堆積（たいせき）しやすい。水深も一般に外側で深く、内側で浅い。つながり：流速／侵食／堆積／蛇行</x:v>
      </x:c>
      <x:c r="J80" s="18" t="str">
        <x:v>流速／侵食／堆積／蛇行</x:v>
      </x:c>
    </x:row>
    <x:row r="81" ht="62" customHeight="1">
      <x:c r="A81" s="106" t="str">
        <x:v>PHY-064</x:v>
      </x:c>
      <x:c r="B81" s="106" t="str">
        <x:v>物理</x:v>
      </x:c>
      <x:c r="C81" s="106" t="str">
        <x:v>小6</x:v>
      </x:c>
      <x:c r="D81" s="106" t="str">
        <x:v>エネルギー</x:v>
      </x:c>
      <x:c r="E81" s="106" t="str">
        <x:v>用語</x:v>
      </x:c>
      <x:c r="F81" s="106" t="str">
        <x:v>A</x:v>
      </x:c>
      <x:c r="G81" s="106" t="n">
        <x:v>30</x:v>
      </x:c>
      <x:c r="H81" s="18" t="str">
        <x:v>エネルギーの変換</x:v>
      </x:c>
      <x:c r="I81" s="18" t="str">
        <x:v>エネルギーは形を変える。電球では電気→光・熱、モーターでは電気→運動、発電機では運動→電気。変換前後の総量は保存されるが、目的外の熱などへも分かれる。つながり：エネルギー保存／電力／効率</x:v>
      </x:c>
      <x:c r="J81" s="18" t="str">
        <x:v>エネルギー保存／電力／効率</x:v>
      </x:c>
    </x:row>
    <x:row r="82" ht="62" customHeight="1">
      <x:c r="A82" s="106" t="str">
        <x:v>PHY-075</x:v>
      </x:c>
      <x:c r="B82" s="106" t="str">
        <x:v>物理</x:v>
      </x:c>
      <x:c r="C82" s="106" t="str">
        <x:v>小6</x:v>
      </x:c>
      <x:c r="D82" s="106" t="str">
        <x:v>力</x:v>
      </x:c>
      <x:c r="E82" s="106" t="str">
        <x:v>用語</x:v>
      </x:c>
      <x:c r="F82" s="106" t="str">
        <x:v>A</x:v>
      </x:c>
      <x:c r="G82" s="106" t="str"/>
      <x:c r="H82" s="18" t="str">
        <x:v>てこの三点</x:v>
      </x:c>
      <x:c r="I82" s="18" t="str">
        <x:v>てこを支える点が支点（してん）、力を加える点が力点（りきてん）、動かす物体から力を受ける点が作用点（さようてん）。支点から各点までの垂直距離が重要で、棒に沿った単純な距離とは限らない。つながり：支点／力点／作用点</x:v>
      </x:c>
      <x:c r="J82" s="18" t="str">
        <x:v>支点／力点／作用点</x:v>
      </x:c>
    </x:row>
    <x:row r="83" ht="62" customHeight="1">
      <x:c r="A83" s="106" t="str">
        <x:v>PHY-076</x:v>
      </x:c>
      <x:c r="B83" s="106" t="str">
        <x:v>物理</x:v>
      </x:c>
      <x:c r="C83" s="106" t="str">
        <x:v>小6</x:v>
      </x:c>
      <x:c r="D83" s="106" t="str">
        <x:v>力</x:v>
      </x:c>
      <x:c r="E83" s="106" t="str">
        <x:v>計算</x:v>
      </x:c>
      <x:c r="F83" s="106" t="str">
        <x:v>A</x:v>
      </x:c>
      <x:c r="G83" s="106" t="n">
        <x:v>31</x:v>
      </x:c>
      <x:c r="H83" s="18" t="str">
        <x:v>てこのつり合い</x:v>
      </x:c>
      <x:c r="I83" s="18" t="str">
        <x:v>左右の回そうとするはたらきが等しいとつり合う。力×支点（してん）からの距離が左右で等しくなる。距離は支点から力の向きへ下ろした垂線の長さで考える。つながり：モーメント／支点／仕事</x:v>
      </x:c>
      <x:c r="J83" s="18" t="str">
        <x:v>モーメント／支点／仕事</x:v>
      </x:c>
    </x:row>
    <x:row r="84" ht="62" customHeight="1">
      <x:c r="A84" s="106" t="str">
        <x:v>PHY-077</x:v>
      </x:c>
      <x:c r="B84" s="106" t="str">
        <x:v>物理</x:v>
      </x:c>
      <x:c r="C84" s="106" t="str">
        <x:v>小6</x:v>
      </x:c>
      <x:c r="D84" s="106" t="str">
        <x:v>力</x:v>
      </x:c>
      <x:c r="E84" s="106" t="str">
        <x:v>因果</x:v>
      </x:c>
      <x:c r="F84" s="106" t="str">
        <x:v>A</x:v>
      </x:c>
      <x:c r="G84" s="106" t="str"/>
      <x:c r="H84" s="18" t="str">
        <x:v>小さい力でてこを動かす方法</x:v>
      </x:c>
      <x:c r="I84" s="18" t="str">
        <x:v>支点（してん）から力点（りきてん）までを長くする、または支点から作用点（さようてん）までを短くする。必要な力は小さくなるが、力点を動かす距離は大きくなり、仕事の総量は理想的には変わらない。つながり：てこ／仕事の原理／力点</x:v>
      </x:c>
      <x:c r="J84" s="18" t="str">
        <x:v>てこ／仕事の原理／力点</x:v>
      </x:c>
    </x:row>
    <x:row r="85" ht="62" customHeight="1">
      <x:c r="A85" s="106" t="str">
        <x:v>PHY-188</x:v>
      </x:c>
      <x:c r="B85" s="106" t="str">
        <x:v>物理</x:v>
      </x:c>
      <x:c r="C85" s="106" t="str">
        <x:v>小6</x:v>
      </x:c>
      <x:c r="D85" s="106" t="str">
        <x:v>電気の利用</x:v>
      </x:c>
      <x:c r="E85" s="106" t="str">
        <x:v>比較</x:v>
      </x:c>
      <x:c r="F85" s="106" t="str">
        <x:v>A</x:v>
      </x:c>
      <x:c r="G85" s="106" t="str"/>
      <x:c r="H85" s="18" t="str">
        <x:v>手回し発電機と光電池のエネルギー変換</x:v>
      </x:c>
      <x:c r="I85" s="18" t="str">
        <x:v>手回し発電機は手の運動エネルギーを、光電池は光のエネルギーを電気エネルギーへ変える。手を速く回す、または強い光を当てると、つないだ器具の働きが大きくなる場合がある。つながり：発電／運動エネルギー／光エネルギー／電気エネルギー</x:v>
      </x:c>
      <x:c r="J85" s="18" t="str">
        <x:v>発電／運動エネルギー／光エネルギー／電気エネルギー</x:v>
      </x:c>
    </x:row>
    <x:row r="86" ht="62" customHeight="1">
      <x:c r="A86" s="106" t="str">
        <x:v>PHY-189</x:v>
      </x:c>
      <x:c r="B86" s="106" t="str">
        <x:v>物理</x:v>
      </x:c>
      <x:c r="C86" s="106" t="str">
        <x:v>小6</x:v>
      </x:c>
      <x:c r="D86" s="106" t="str">
        <x:v>電気の利用</x:v>
      </x:c>
      <x:c r="E86" s="106" t="str">
        <x:v>用語</x:v>
      </x:c>
      <x:c r="F86" s="106" t="str">
        <x:v>A</x:v>
      </x:c>
      <x:c r="G86" s="106" t="str"/>
      <x:c r="H86" s="18" t="str">
        <x:v>発電した電気をためる方法</x:v>
      </x:c>
      <x:c r="I86" s="18" t="str">
        <x:v>発電した電気は、コンデンサーや充電できる電池へ蓄え、後で豆電球やモーターなどに使える。ためられる量には限りがあり、端子の向きや器具の指定を守って充電する。つながり：蓄電／コンデンサー／充電池／電気の利用</x:v>
      </x:c>
      <x:c r="J86" s="18" t="str">
        <x:v>蓄電／コンデンサー／充電池／電気の利用</x:v>
      </x:c>
    </x:row>
    <x:row r="87" ht="62" customHeight="1">
      <x:c r="A87" s="106" t="str">
        <x:v>PHY-190</x:v>
      </x:c>
      <x:c r="B87" s="106" t="str">
        <x:v>物理</x:v>
      </x:c>
      <x:c r="C87" s="106" t="str">
        <x:v>小6</x:v>
      </x:c>
      <x:c r="D87" s="106" t="str">
        <x:v>電気の利用</x:v>
      </x:c>
      <x:c r="E87" s="106" t="str">
        <x:v>因果</x:v>
      </x:c>
      <x:c r="F87" s="106" t="str">
        <x:v>A</x:v>
      </x:c>
      <x:c r="G87" s="106" t="str"/>
      <x:c r="H87" s="18" t="str">
        <x:v>センサーで電気を有効に使う仕組み</x:v>
      </x:c>
      <x:c r="I87" s="18" t="str">
        <x:v>明るさ・温度・人の動きなどをセンサーで検知し、必要な条件のときだけ照明やモーターを動かすと、不要な電気の使用を減らせる。センサーは電気をつくるのでなく、回路を制御する。つながり：センサー／回路制御／省エネルギー／電気の利用</x:v>
      </x:c>
      <x:c r="J87" s="18" t="str">
        <x:v>センサー／回路制御／省エネルギー／電気の利用</x:v>
      </x:c>
    </x:row>
    <x:row r="88" ht="62" customHeight="1">
      <x:c r="A88" s="106" t="str">
        <x:v>CHE-029</x:v>
      </x:c>
      <x:c r="B88" s="106" t="str">
        <x:v>化学</x:v>
      </x:c>
      <x:c r="C88" s="106" t="str">
        <x:v>小6</x:v>
      </x:c>
      <x:c r="D88" s="106" t="str">
        <x:v>気体</x:v>
      </x:c>
      <x:c r="E88" s="106" t="str">
        <x:v>用語</x:v>
      </x:c>
      <x:c r="F88" s="106" t="str">
        <x:v>A</x:v>
      </x:c>
      <x:c r="G88" s="106" t="str"/>
      <x:c r="H88" s="18" t="str">
        <x:v>空気中の酸素の割合</x:v>
      </x:c>
      <x:c r="I88" s="18" t="str">
        <x:v>空気の体積のおよそ5分の1、約21％が酸素である。残りの大部分は窒素で、物が燃えると空気中の酸素が使われる。空気全体が燃焼を助ける物質ではない。つながり：酸素／窒素／燃焼</x:v>
      </x:c>
      <x:c r="J88" s="18" t="str">
        <x:v>酸素／窒素／燃焼</x:v>
      </x:c>
    </x:row>
    <x:row r="89" ht="62" customHeight="1">
      <x:c r="A89" s="106" t="str">
        <x:v>CHE-030</x:v>
      </x:c>
      <x:c r="B89" s="106" t="str">
        <x:v>化学</x:v>
      </x:c>
      <x:c r="C89" s="106" t="str">
        <x:v>小6</x:v>
      </x:c>
      <x:c r="D89" s="106" t="str">
        <x:v>気体</x:v>
      </x:c>
      <x:c r="E89" s="106" t="str">
        <x:v>用語</x:v>
      </x:c>
      <x:c r="F89" s="106" t="str">
        <x:v>A</x:v>
      </x:c>
      <x:c r="G89" s="106" t="str"/>
      <x:c r="H89" s="18" t="str">
        <x:v>酸素の性質</x:v>
      </x:c>
      <x:c r="I89" s="18" t="str">
        <x:v>無色・無臭で、水に溶けにくく、空気より少し重い。自身は燃えないが物質の燃焼を助ける。火のついた線香を入れると激しく燃えるので確認できる。つながり：助燃性／燃焼／水上置換</x:v>
      </x:c>
      <x:c r="J89" s="18" t="str">
        <x:v>助燃性／燃焼／水上置換</x:v>
      </x:c>
    </x:row>
    <x:row r="90" ht="62" customHeight="1">
      <x:c r="A90" s="106" t="str">
        <x:v>CHE-031</x:v>
      </x:c>
      <x:c r="B90" s="106" t="str">
        <x:v>化学</x:v>
      </x:c>
      <x:c r="C90" s="106" t="str">
        <x:v>小6</x:v>
      </x:c>
      <x:c r="D90" s="106" t="str">
        <x:v>気体</x:v>
      </x:c>
      <x:c r="E90" s="106" t="str">
        <x:v>用語</x:v>
      </x:c>
      <x:c r="F90" s="106" t="str">
        <x:v>A</x:v>
      </x:c>
      <x:c r="G90" s="106" t="str"/>
      <x:c r="H90" s="18" t="str">
        <x:v>二酸化（さんか）炭素の性質</x:v>
      </x:c>
      <x:c r="I90" s="18" t="str">
        <x:v>無色・無臭で、空気より重く、水に少し溶けて弱い酸性を示す。燃焼を支えず、石灰水を白く濁らせる。濃度が高いと窒息の危険がある。つながり：石灰水／炭酸／燃焼</x:v>
      </x:c>
      <x:c r="J90" s="18" t="str">
        <x:v>石灰水／炭酸／燃焼</x:v>
      </x:c>
    </x:row>
    <x:row r="91" ht="62" customHeight="1">
      <x:c r="A91" s="106" t="str">
        <x:v>CHE-041</x:v>
      </x:c>
      <x:c r="B91" s="106" t="str">
        <x:v>化学</x:v>
      </x:c>
      <x:c r="C91" s="106" t="str">
        <x:v>小6</x:v>
      </x:c>
      <x:c r="D91" s="106" t="str">
        <x:v>燃焼</x:v>
      </x:c>
      <x:c r="E91" s="106" t="str">
        <x:v>用語</x:v>
      </x:c>
      <x:c r="F91" s="106" t="str">
        <x:v>A</x:v>
      </x:c>
      <x:c r="G91" s="106" t="n">
        <x:v>32</x:v>
      </x:c>
      <x:c r="H91" s="18" t="str">
        <x:v>燃焼の三条件</x:v>
      </x:c>
      <x:c r="I91" s="18" t="str">
        <x:v>燃える物質、酸素、発火点以上の温度がそろうと燃焼が続く。消火は、燃料を除く・酸素を遮る・発火点未満へ冷やす、のどれかを行う。つながり：酸素／発火点／消火</x:v>
      </x:c>
      <x:c r="J91" s="18" t="str">
        <x:v>酸素／発火点／消火</x:v>
      </x:c>
    </x:row>
    <x:row r="92" ht="62" customHeight="1">
      <x:c r="A92" s="106" t="str">
        <x:v>CHE-042</x:v>
      </x:c>
      <x:c r="B92" s="106" t="str">
        <x:v>化学</x:v>
      </x:c>
      <x:c r="C92" s="106" t="str">
        <x:v>小6</x:v>
      </x:c>
      <x:c r="D92" s="106" t="str">
        <x:v>燃焼</x:v>
      </x:c>
      <x:c r="E92" s="106" t="str">
        <x:v>因果</x:v>
      </x:c>
      <x:c r="F92" s="106" t="str">
        <x:v>A</x:v>
      </x:c>
      <x:c r="G92" s="106" t="str"/>
      <x:c r="H92" s="18" t="str">
        <x:v>ろうそくの燃焼</x:v>
      </x:c>
      <x:c r="I92" s="18" t="str">
        <x:v>ろうが熱で融け、芯を上って気化し、そのろうの蒸気が酸素と反応して燃える。固体のろうそのものが直接炎を出して燃えるのではない。主に二酸化（さんか）炭素と水ができる。つながり：気化／酸素／二酸化炭素</x:v>
      </x:c>
      <x:c r="J92" s="18" t="str">
        <x:v>気化／酸素／二酸化炭素</x:v>
      </x:c>
    </x:row>
    <x:row r="93" ht="62" customHeight="1">
      <x:c r="A93" s="106" t="str">
        <x:v>CHE-043</x:v>
      </x:c>
      <x:c r="B93" s="106" t="str">
        <x:v>化学</x:v>
      </x:c>
      <x:c r="C93" s="106" t="str">
        <x:v>小6</x:v>
      </x:c>
      <x:c r="D93" s="106" t="str">
        <x:v>燃焼</x:v>
      </x:c>
      <x:c r="E93" s="106" t="str">
        <x:v>因果</x:v>
      </x:c>
      <x:c r="F93" s="106" t="str">
        <x:v>A</x:v>
      </x:c>
      <x:c r="G93" s="106" t="str"/>
      <x:c r="H93" s="18" t="str">
        <x:v>燃焼と空気の入れ替わり</x:v>
      </x:c>
      <x:c r="I93" s="18" t="str">
        <x:v>物が燃えると酸素が消費され、二酸化（さんか）炭素などが増える。容器内の空気を入れ替えないと酸素濃度が下がり火は消える。下から新鮮な空気が入り、上から熱い気体が出ると燃え続けやすい。つながり：対流／酸素／二酸化炭素</x:v>
      </x:c>
      <x:c r="J93" s="18" t="str">
        <x:v>対流／酸素／二酸化炭素</x:v>
      </x:c>
    </x:row>
    <x:row r="94" ht="62" customHeight="1">
      <x:c r="A94" s="106" t="str">
        <x:v>CHE-045</x:v>
      </x:c>
      <x:c r="B94" s="106" t="str">
        <x:v>化学</x:v>
      </x:c>
      <x:c r="C94" s="106" t="str">
        <x:v>小6</x:v>
      </x:c>
      <x:c r="D94" s="106" t="str">
        <x:v>燃焼</x:v>
      </x:c>
      <x:c r="E94" s="106" t="str">
        <x:v>因果</x:v>
      </x:c>
      <x:c r="F94" s="106" t="str">
        <x:v>A</x:v>
      </x:c>
      <x:c r="G94" s="106" t="str"/>
      <x:c r="H94" s="18" t="str">
        <x:v>消火のしくみ</x:v>
      </x:c>
      <x:c r="I94" s="18" t="str">
        <x:v>水は主に冷却して発火点未満にし、ふたや泡は酸素を遮る。ガス栓を閉めるのは燃料を断つ。油火災へ水をかけると燃えた油が飛散するので適切な消火器を使う。つながり：燃焼の三条件／冷却／酸素遮断</x:v>
      </x:c>
      <x:c r="J94" s="18" t="str">
        <x:v>燃焼の三条件／冷却／酸素遮断</x:v>
      </x:c>
    </x:row>
    <x:row r="95" ht="62" customHeight="1">
      <x:c r="A95" s="106" t="str">
        <x:v>CHE-048</x:v>
      </x:c>
      <x:c r="B95" s="106" t="str">
        <x:v>化学</x:v>
      </x:c>
      <x:c r="C95" s="106" t="str">
        <x:v>小6</x:v>
      </x:c>
      <x:c r="D95" s="106" t="str">
        <x:v>水溶液の性質</x:v>
      </x:c>
      <x:c r="E95" s="106" t="str">
        <x:v>比較</x:v>
      </x:c>
      <x:c r="F95" s="106" t="str">
        <x:v>A</x:v>
      </x:c>
      <x:c r="G95" s="106" t="str"/>
      <x:c r="H95" s="18" t="str">
        <x:v>酸性・中性・アルカリ性</x:v>
      </x:c>
      <x:c r="I95" s="18" t="str">
        <x:v>水溶液の性質を三つに分けたもの。酸性は青色リトマス紙を赤、アルカリ性は赤色を青にし、中性はいずれも変えない。強さはpHで表す。つながり：リトマス紙／pH／中和（ちゅうわ）</x:v>
      </x:c>
      <x:c r="J95" s="18" t="str">
        <x:v>リトマス紙／pH／中和ちゅうわ&lt;／rt&gt;&lt;／ruby&gt;</x:v>
      </x:c>
    </x:row>
    <x:row r="96" ht="62" customHeight="1">
      <x:c r="A96" s="106" t="str">
        <x:v>CHE-049</x:v>
      </x:c>
      <x:c r="B96" s="106" t="str">
        <x:v>化学</x:v>
      </x:c>
      <x:c r="C96" s="106" t="str">
        <x:v>小6</x:v>
      </x:c>
      <x:c r="D96" s="106" t="str">
        <x:v>水溶液の性質</x:v>
      </x:c>
      <x:c r="E96" s="106" t="str">
        <x:v>実験</x:v>
      </x:c>
      <x:c r="F96" s="106" t="str">
        <x:v>A</x:v>
      </x:c>
      <x:c r="G96" s="106" t="str"/>
      <x:c r="H96" s="18" t="str">
        <x:v>リトマス紙</x:v>
      </x:c>
      <x:c r="I96" s="18" t="str">
        <x:v>青色紙が赤に変われば酸性、赤色紙が青に変わればアルカリ性。中性ではどちらも変化しない。調べる液はガラス棒で少量付け、試薬びんへ紙を直接入れない。つながり：酸性／アルカリ性／指示薬</x:v>
      </x:c>
      <x:c r="J96" s="18" t="str">
        <x:v>酸性／アルカリ性／指示薬</x:v>
      </x:c>
    </x:row>
    <x:row r="97" ht="62" customHeight="1">
      <x:c r="A97" s="106" t="str">
        <x:v>BIO-009</x:v>
      </x:c>
      <x:c r="B97" s="106" t="str">
        <x:v>生物</x:v>
      </x:c>
      <x:c r="C97" s="106" t="str">
        <x:v>小6</x:v>
      </x:c>
      <x:c r="D97" s="106" t="str">
        <x:v>根のはたらき</x:v>
      </x:c>
      <x:c r="E97" s="106" t="str">
        <x:v>用語</x:v>
      </x:c>
      <x:c r="F97" s="106" t="str">
        <x:v>A</x:v>
      </x:c>
      <x:c r="G97" s="106" t="str"/>
      <x:c r="H97" s="18" t="str">
        <x:v>根の主な役割（小学校）</x:v>
      </x:c>
      <x:c r="I97" s="18" t="str">
        <x:v>根は植物体を土に固定し、土から水を取り入れる。取り入れた水は茎を通って葉などへ運ばれる。つながり：根／吸水／茎／水の通り道</x:v>
      </x:c>
      <x:c r="J97" s="18" t="str">
        <x:v>根／吸水／茎／水の通り道</x:v>
      </x:c>
    </x:row>
    <x:row r="98" ht="62" customHeight="1">
      <x:c r="A98" s="106" t="str">
        <x:v>BIO-010</x:v>
      </x:c>
      <x:c r="B98" s="106" t="str">
        <x:v>生物</x:v>
      </x:c>
      <x:c r="C98" s="106" t="str">
        <x:v>小6</x:v>
      </x:c>
      <x:c r="D98" s="106" t="str">
        <x:v>茎のはたらき</x:v>
      </x:c>
      <x:c r="E98" s="106" t="str">
        <x:v>用語</x:v>
      </x:c>
      <x:c r="F98" s="106" t="str">
        <x:v>A</x:v>
      </x:c>
      <x:c r="G98" s="106" t="str"/>
      <x:c r="H98" s="18" t="str">
        <x:v>茎の主な役割（小学校）</x:v>
      </x:c>
      <x:c r="I98" s="18" t="str">
        <x:v>茎は葉・花・実を支え、根が取り入れた水や、葉でつくられた養分の通り道になる。色水を吸わせて断面を見ると、水の通り道を確かめられる。つながり：茎／水の通り道／葉／色水</x:v>
      </x:c>
      <x:c r="J98" s="18" t="str">
        <x:v>茎／水の通り道／葉／色水</x:v>
      </x:c>
    </x:row>
    <x:row r="99" ht="62" customHeight="1">
      <x:c r="A99" s="106" t="str">
        <x:v>BIO-011</x:v>
      </x:c>
      <x:c r="B99" s="106" t="str">
        <x:v>生物</x:v>
      </x:c>
      <x:c r="C99" s="106" t="str">
        <x:v>小6</x:v>
      </x:c>
      <x:c r="D99" s="106" t="str">
        <x:v>葉のはたらき</x:v>
      </x:c>
      <x:c r="E99" s="106" t="str">
        <x:v>用語</x:v>
      </x:c>
      <x:c r="F99" s="106" t="str">
        <x:v>A</x:v>
      </x:c>
      <x:c r="G99" s="106" t="str"/>
      <x:c r="H99" s="18" t="str">
        <x:v>葉の主な役割</x:v>
      </x:c>
      <x:c r="I99" s="18" t="str">
        <x:v>葉は日光を受けて養分をつくり、根から運ばれた水の一部を水蒸気として外へ出す。葉では気体の出入りも行われる。つながり：葉／日光／養分／水蒸気</x:v>
      </x:c>
      <x:c r="J99" s="18" t="str">
        <x:v>葉／日光／養分／水蒸気</x:v>
      </x:c>
    </x:row>
    <x:row r="100" ht="62" customHeight="1">
      <x:c r="A100" s="106" t="str">
        <x:v>BIO-012</x:v>
      </x:c>
      <x:c r="B100" s="106" t="str">
        <x:v>生物</x:v>
      </x:c>
      <x:c r="C100" s="106" t="str">
        <x:v>小6</x:v>
      </x:c>
      <x:c r="D100" s="106" t="str">
        <x:v>光合成</x:v>
      </x:c>
      <x:c r="E100" s="106" t="str">
        <x:v>用語</x:v>
      </x:c>
      <x:c r="F100" s="106" t="str">
        <x:v>A</x:v>
      </x:c>
      <x:c r="G100" s="106" t="str"/>
      <x:c r="H100" s="18" t="str">
        <x:v>日光と葉のでんぷん</x:v>
      </x:c>
      <x:c r="I100" s="18" t="str">
        <x:v>日光に当たった緑色の葉では、でんぷんがつくられる。日光を遮った部分と当てた部分をヨウ素液で比べると、養分をつくるには光が必要だと分かる。つながり：日光／でんぷん／ヨウ素液／対照実験（たいしょうじっけん）</x:v>
      </x:c>
      <x:c r="J100" s="18" t="str">
        <x:v>日光／でんぷん／ヨウ素液／対照実験たいしょうじっけん&lt;／rt&gt;&lt;／ruby&gt;</x:v>
      </x:c>
    </x:row>
    <x:row r="101" ht="62" customHeight="1">
      <x:c r="A101" s="106" t="str">
        <x:v>BIO-013</x:v>
      </x:c>
      <x:c r="B101" s="106" t="str">
        <x:v>生物</x:v>
      </x:c>
      <x:c r="C101" s="106" t="str">
        <x:v>小6</x:v>
      </x:c>
      <x:c r="D101" s="106" t="str">
        <x:v>光合成</x:v>
      </x:c>
      <x:c r="E101" s="106" t="str">
        <x:v>実験</x:v>
      </x:c>
      <x:c r="F101" s="106" t="str">
        <x:v>A</x:v>
      </x:c>
      <x:c r="G101" s="106" t="str"/>
      <x:c r="H101" s="18" t="str">
        <x:v>葉にできたデンプンの調べ方</x:v>
      </x:c>
      <x:c r="I101" s="18" t="str">
        <x:v>葉を熱湯に入れて反応を止め、温めたエタノールで葉緑素を抜き、水でやわらかくしてからヨウ素液をかける。青紫色になった部分にデンプンがある。エタノールは引火するので直火で加熱しない。つながり：ヨウ素液／デンプン／エタノール／対照実験（たいしょうじっけん）</x:v>
      </x:c>
      <x:c r="J101" s="18" t="str">
        <x:v>ヨウ素液／デンプン／エタノール／対照実験たいしょうじっけん&lt;／rt&gt;&lt;／ruby&gt;</x:v>
      </x:c>
    </x:row>
    <x:row r="102" ht="62" customHeight="1">
      <x:c r="A102" s="106" t="str">
        <x:v>BIO-014</x:v>
      </x:c>
      <x:c r="B102" s="106" t="str">
        <x:v>生物</x:v>
      </x:c>
      <x:c r="C102" s="106" t="str">
        <x:v>小6</x:v>
      </x:c>
      <x:c r="D102" s="106" t="str">
        <x:v>光合成</x:v>
      </x:c>
      <x:c r="E102" s="106" t="str">
        <x:v>実験</x:v>
      </x:c>
      <x:c r="F102" s="106" t="str">
        <x:v>A</x:v>
      </x:c>
      <x:c r="G102" s="106" t="str"/>
      <x:c r="H102" s="18" t="str">
        <x:v>葉の一部をアルミニウム箔（はく）で覆う理由</x:v>
      </x:c>
      <x:c r="I102" s="18" t="str">
        <x:v>同じ葉で光が当たる部分と当たらない部分を比べ、光だけを変えた対照実験（たいしょうじっけん）にするため。十分に暗所へ置いて葉のデンプンを減らしてから実験すると、実験中につくられた分を判定できる。つながり：光合成／デンプン／対照実験／暗所処理</x:v>
      </x:c>
      <x:c r="J102" s="18" t="str">
        <x:v>光合成／デンプン／対照実験／暗所処理</x:v>
      </x:c>
    </x:row>
    <x:row r="103" ht="62" customHeight="1">
      <x:c r="A103" s="106" t="str">
        <x:v>BIO-015</x:v>
      </x:c>
      <x:c r="B103" s="106" t="str">
        <x:v>生物</x:v>
      </x:c>
      <x:c r="C103" s="106" t="str">
        <x:v>小6</x:v>
      </x:c>
      <x:c r="D103" s="106" t="str">
        <x:v>蒸散</x:v>
      </x:c>
      <x:c r="E103" s="106" t="str">
        <x:v>用語</x:v>
      </x:c>
      <x:c r="F103" s="106" t="str">
        <x:v>A</x:v>
      </x:c>
      <x:c r="G103" s="106" t="str"/>
      <x:c r="H103" s="18" t="str">
        <x:v>植物に取り入れられた水の行方</x:v>
      </x:c>
      <x:c r="I103" s="18" t="str">
        <x:v>根から取り入れられた水は茎を通って葉へ運ばれ、その多くは葉から水蒸気として出る。一部は養分をつくるはたらきなどにも使われる。つながり：吸水／茎／葉／蒸散（じょうさん）</x:v>
      </x:c>
      <x:c r="J103" s="18" t="str">
        <x:v>吸水／茎／葉／蒸散じょうさん&lt;／rt&gt;&lt;／ruby&gt;</x:v>
      </x:c>
    </x:row>
    <x:row r="104" ht="62" customHeight="1">
      <x:c r="A104" s="106" t="str">
        <x:v>BIO-016</x:v>
      </x:c>
      <x:c r="B104" s="106" t="str">
        <x:v>生物</x:v>
      </x:c>
      <x:c r="C104" s="106" t="str">
        <x:v>小6</x:v>
      </x:c>
      <x:c r="D104" s="106" t="str">
        <x:v>蒸散</x:v>
      </x:c>
      <x:c r="E104" s="106" t="str">
        <x:v>実験</x:v>
      </x:c>
      <x:c r="F104" s="106" t="str">
        <x:v>B</x:v>
      </x:c>
      <x:c r="G104" s="106" t="str"/>
      <x:c r="H104" s="18" t="str">
        <x:v>蒸散（じょうさん）を確かめる袋の実験</x:v>
      </x:c>
      <x:c r="I104" s="18" t="str">
        <x:v>葉のついた枝と葉を除いた枝に透明な袋をかぶせて比べると、葉のある方に多く水滴がつく。土からの蒸発を防いで、葉から出た水だと判断できるようにする。つながり：蒸散（じょうさん）／気孔（きこう）／水滴／対照実験（たいしょうじっけん）</x:v>
      </x:c>
      <x:c r="J104" s="18" t="str">
        <x:v>蒸散じょうさん&lt;／rt&gt;&lt;／ruby&gt;／気孔きこう&lt;／rt&gt;&lt;／ruby&gt;／水滴／対照実験たいしょうじっけん&lt;／rt&gt;&lt;／ruby&gt;</x:v>
      </x:c>
    </x:row>
    <x:row r="105" ht="62" customHeight="1">
      <x:c r="A105" s="106" t="str">
        <x:v>BIO-027</x:v>
      </x:c>
      <x:c r="B105" s="106" t="str">
        <x:v>生物</x:v>
      </x:c>
      <x:c r="C105" s="106" t="str">
        <x:v>小6</x:v>
      </x:c>
      <x:c r="D105" s="106" t="str">
        <x:v>生態系</x:v>
      </x:c>
      <x:c r="E105" s="106" t="str">
        <x:v>因果</x:v>
      </x:c>
      <x:c r="F105" s="106" t="str">
        <x:v>A</x:v>
      </x:c>
      <x:c r="G105" s="106" t="str"/>
      <x:c r="H105" s="18" t="str">
        <x:v>食べる・食べられる関係</x:v>
      </x:c>
      <x:c r="I105" s="18" t="str">
        <x:v>野外で動物が何を食べるかを観察すると、植物→草食動物→肉食動物のように、生物どうしが食べる・食べられる関係でつながっていると分かる。一つの生物は複数の相手と関わるので、実際のつながりは網のように広がる。つながり：食物連鎖／食物網／生産者／消費者</x:v>
      </x:c>
      <x:c r="J105" s="18" t="str">
        <x:v>食物連鎖／食物網／生産者／消費者</x:v>
      </x:c>
    </x:row>
    <x:row r="106" ht="62" customHeight="1">
      <x:c r="A106" s="106" t="str">
        <x:v>BIO-030</x:v>
      </x:c>
      <x:c r="B106" s="106" t="str">
        <x:v>生物</x:v>
      </x:c>
      <x:c r="C106" s="106" t="str">
        <x:v>小6</x:v>
      </x:c>
      <x:c r="D106" s="106" t="str">
        <x:v>人体</x:v>
      </x:c>
      <x:c r="E106" s="106" t="str">
        <x:v>用語</x:v>
      </x:c>
      <x:c r="F106" s="106" t="str">
        <x:v>A</x:v>
      </x:c>
      <x:c r="G106" s="106" t="str"/>
      <x:c r="H106" s="18" t="str">
        <x:v>呼吸の目的</x:v>
      </x:c>
      <x:c r="I106" s="18" t="str">
        <x:v>酸素を体内に取り入れ、細胞が養分からエネルギーを取り出すために使う。できた二酸化（さんか）炭素を体外へ出す。肺での気体交換と、細胞での呼吸は区別する。つながり：肺／酸素／二酸化炭素／細胞呼吸</x:v>
      </x:c>
      <x:c r="J106" s="18" t="str">
        <x:v>肺／酸素／二酸化炭素／細胞呼吸</x:v>
      </x:c>
    </x:row>
    <x:row r="107" ht="62" customHeight="1">
      <x:c r="A107" s="106" t="str">
        <x:v>BIO-031</x:v>
      </x:c>
      <x:c r="B107" s="106" t="str">
        <x:v>生物</x:v>
      </x:c>
      <x:c r="C107" s="106" t="str">
        <x:v>小6</x:v>
      </x:c>
      <x:c r="D107" s="106" t="str">
        <x:v>人体</x:v>
      </x:c>
      <x:c r="E107" s="106" t="str">
        <x:v>比較</x:v>
      </x:c>
      <x:c r="F107" s="106" t="str">
        <x:v>A</x:v>
      </x:c>
      <x:c r="G107" s="106" t="str"/>
      <x:c r="H107" s="18" t="str">
        <x:v>吸う息と吐く息の違い</x:v>
      </x:c>
      <x:c r="I107" s="18" t="str">
        <x:v>吐く息は吸う息より酸素が少なく、二酸化（さんか）炭素と水蒸気が多い。窒素の割合はほぼ変わらない。石灰水を白く濁らせるのは吐く息中の二酸化炭素である。つながり：酸素／二酸化炭素／石灰水／気体交換</x:v>
      </x:c>
      <x:c r="J107" s="18" t="str">
        <x:v>酸素／二酸化炭素／石灰水／気体交換</x:v>
      </x:c>
    </x:row>
    <x:row r="108" ht="62" customHeight="1">
      <x:c r="A108" s="106" t="str">
        <x:v>BIO-032</x:v>
      </x:c>
      <x:c r="B108" s="106" t="str">
        <x:v>生物</x:v>
      </x:c>
      <x:c r="C108" s="106" t="str">
        <x:v>小6</x:v>
      </x:c>
      <x:c r="D108" s="106" t="str">
        <x:v>人体</x:v>
      </x:c>
      <x:c r="E108" s="106" t="str">
        <x:v>用語</x:v>
      </x:c>
      <x:c r="F108" s="106" t="str">
        <x:v>A</x:v>
      </x:c>
      <x:c r="G108" s="106" t="str"/>
      <x:c r="H108" s="18" t="str">
        <x:v>消化の目的</x:v>
      </x:c>
      <x:c r="I108" s="18" t="str">
        <x:v>食物中の大きく水に溶けにくい養分を、小さく水に溶ける物質へ変え、腸から吸収できるようにする。かみ砕くだけでなく、消化液による化学的変化を含む。つながり：消化液／小腸／吸収／消化酵素（しょうかこうそ）</x:v>
      </x:c>
      <x:c r="J108" s="18" t="str">
        <x:v>消化液／小腸／吸収／消化酵素しょうかこうそ&lt;／rt&gt;&lt;／ruby&gt;</x:v>
      </x:c>
    </x:row>
    <x:row r="109" ht="62" customHeight="1">
      <x:c r="A109" s="106" t="str">
        <x:v>BIO-033</x:v>
      </x:c>
      <x:c r="B109" s="106" t="str">
        <x:v>生物</x:v>
      </x:c>
      <x:c r="C109" s="106" t="str">
        <x:v>小6</x:v>
      </x:c>
      <x:c r="D109" s="106" t="str">
        <x:v>人体</x:v>
      </x:c>
      <x:c r="E109" s="106" t="str">
        <x:v>用語</x:v>
      </x:c>
      <x:c r="F109" s="106" t="str">
        <x:v>A</x:v>
      </x:c>
      <x:c r="G109" s="106" t="str"/>
      <x:c r="H109" s="18" t="str">
        <x:v>血液の循環</x:v>
      </x:c>
      <x:c r="I109" s="18" t="str">
        <x:v>心臓の拍動によって血液が血管内を巡り、酸素・養分・二酸化（さんか）炭素・不要物などを運ぶ。動脈は心臓から出る血管、静脈は心臓へ戻る血管で、酸素量による名前ではない。つながり：心臓／動脈／静脈／毛細血管</x:v>
      </x:c>
      <x:c r="J109" s="18" t="str">
        <x:v>心臓／動脈／静脈／毛細血管</x:v>
      </x:c>
    </x:row>
    <x:row r="110" ht="62" customHeight="1">
      <x:c r="A110" s="106" t="str">
        <x:v>EAR-012</x:v>
      </x:c>
      <x:c r="B110" s="106" t="str">
        <x:v>地学</x:v>
      </x:c>
      <x:c r="C110" s="106" t="str">
        <x:v>小6</x:v>
      </x:c>
      <x:c r="D110" s="106" t="str">
        <x:v>月</x:v>
      </x:c>
      <x:c r="E110" s="106" t="str">
        <x:v>因果</x:v>
      </x:c>
      <x:c r="F110" s="106" t="str">
        <x:v>A</x:v>
      </x:c>
      <x:c r="G110" s="106" t="str"/>
      <x:c r="H110" s="18" t="str">
        <x:v>月の形が変わって見える理由</x:v>
      </x:c>
      <x:c r="I110" s="18" t="str">
        <x:v>月は自ら光らず、太陽光を反射（はんしゃ）している。月が地球の周りを公転し、太陽に照らされた半球を地球から見る角度が変わるため、満ち欠けして見える。地球の影が原因なのは月食（げっしょく）のときだけ。つながり：月の公転／太陽光／満ち欠け／月食</x:v>
      </x:c>
      <x:c r="J110" s="18" t="str">
        <x:v>月の公転／太陽光／満ち欠け／月食</x:v>
      </x:c>
    </x:row>
    <x:row r="111" ht="62" customHeight="1">
      <x:c r="A111" s="106" t="str">
        <x:v>EAR-019</x:v>
      </x:c>
      <x:c r="B111" s="106" t="str">
        <x:v>地学</x:v>
      </x:c>
      <x:c r="C111" s="106" t="str">
        <x:v>小6</x:v>
      </x:c>
      <x:c r="D111" s="106" t="str">
        <x:v>土地のつくり</x:v>
      </x:c>
      <x:c r="E111" s="106" t="str">
        <x:v>用語</x:v>
      </x:c>
      <x:c r="F111" s="106" t="str">
        <x:v>A</x:v>
      </x:c>
      <x:c r="G111" s="106" t="n">
        <x:v>33</x:v>
      </x:c>
      <x:c r="H111" s="18" t="str">
        <x:v>地層</x:v>
      </x:c>
      <x:c r="I111" s="18" t="str">
        <x:v>れき・砂・泥・火山灰などが水底や地表に積み重なってできた層。下の層ほど古いのが基本だが、地殻変動で逆転している場合や断層（だんそう）・不整合には注意する。つながり：堆積（たいせき）／堆積岩／化石／地層累重の法則</x:v>
      </x:c>
      <x:c r="J111" s="18" t="str">
        <x:v>堆積たいせき&lt;／rt&gt;&lt;／ruby&gt;／堆積岩／化石／地層累重の法則</x:v>
      </x:c>
    </x:row>
    <x:row r="112" ht="62" customHeight="1">
      <x:c r="A112" s="106" t="str">
        <x:v>EAR-020</x:v>
      </x:c>
      <x:c r="B112" s="106" t="str">
        <x:v>地学</x:v>
      </x:c>
      <x:c r="C112" s="106" t="str">
        <x:v>小6</x:v>
      </x:c>
      <x:c r="D112" s="106" t="str">
        <x:v>土地のつくり</x:v>
      </x:c>
      <x:c r="E112" s="106" t="str">
        <x:v>読図</x:v>
      </x:c>
      <x:c r="F112" s="106" t="str">
        <x:v>A</x:v>
      </x:c>
      <x:c r="G112" s="106" t="str"/>
      <x:c r="H112" s="18" t="str">
        <x:v>地層から分かること</x:v>
      </x:c>
      <x:c r="I112" s="18" t="str">
        <x:v>粒の大きさ、模様、化石、火山灰などから、堆積（たいせき）した当時の水の流れ・深さ・環境や、離れた地層との対応を推定できる。観察した事実を根拠に過去を考える。つながり：化石／火山灰層／堆積環境／柱状図</x:v>
      </x:c>
      <x:c r="J112" s="18" t="str">
        <x:v>化石／火山灰層／堆積環境／柱状図</x:v>
      </x:c>
    </x:row>
    <x:row r="113" ht="62" customHeight="1">
      <x:c r="A113" s="106" t="str">
        <x:v>EAR-021</x:v>
      </x:c>
      <x:c r="B113" s="106" t="str">
        <x:v>地学</x:v>
      </x:c>
      <x:c r="C113" s="106" t="str">
        <x:v>小6</x:v>
      </x:c>
      <x:c r="D113" s="106" t="str">
        <x:v>土地のつくり</x:v>
      </x:c>
      <x:c r="E113" s="106" t="str">
        <x:v>用語</x:v>
      </x:c>
      <x:c r="F113" s="106" t="str">
        <x:v>A</x:v>
      </x:c>
      <x:c r="G113" s="106" t="str"/>
      <x:c r="H113" s="18" t="str">
        <x:v>化石</x:v>
      </x:c>
      <x:c r="I113" s="18" t="str">
        <x:v>過去の生物の体や生活の跡が地層に残ったもの。骨や殻だけでなく、足跡・巣穴・ふんなども含む。地層の年代や当時の環境を知る手がかりになる。つながり：示準化石（しじゅんかせき）／示相化石（しそうかせき）／地層／堆積（たいせき）岩</x:v>
      </x:c>
      <x:c r="J113" s="18" t="str">
        <x:v>示準化石しじゅんかせき&lt;／rt&gt;&lt;／ruby&gt;／示相化石しそうかせき&lt;／rt&gt;&lt;／ruby&gt;／地層／堆積たいせき&lt;／rt&gt;&lt;／ruby&gt;岩</x:v>
      </x:c>
    </x:row>
    <x:row r="114" ht="62" customHeight="1">
      <x:c r="A114" s="106" t="str">
        <x:v>EAR-022</x:v>
      </x:c>
      <x:c r="B114" s="106" t="str">
        <x:v>地学</x:v>
      </x:c>
      <x:c r="C114" s="106" t="str">
        <x:v>小6</x:v>
      </x:c>
      <x:c r="D114" s="106" t="str">
        <x:v>土地の変化</x:v>
      </x:c>
      <x:c r="E114" s="106" t="str">
        <x:v>因果</x:v>
      </x:c>
      <x:c r="F114" s="106" t="str">
        <x:v>B</x:v>
      </x:c>
      <x:c r="G114" s="106" t="str"/>
      <x:c r="H114" s="18" t="str">
        <x:v>火山による土地の変化</x:v>
      </x:c>
      <x:c r="I114" s="18" t="str">
        <x:v>噴火で溶岩・火山灰・火砕流などが地表を覆い、山や島、新しい地層をつくる。短時間に大きく変える災害面と、長期的に肥沃な土や地熱などをもたらす面がある。つながり：噴火／溶岩／火山灰／火砕流</x:v>
      </x:c>
      <x:c r="J114" s="18" t="str">
        <x:v>噴火／溶岩／火山灰／火砕流</x:v>
      </x:c>
    </x:row>
    <x:row r="115" ht="62" customHeight="1">
      <x:c r="A115" s="106" t="str">
        <x:v>EAR-023</x:v>
      </x:c>
      <x:c r="B115" s="106" t="str">
        <x:v>地学</x:v>
      </x:c>
      <x:c r="C115" s="106" t="str">
        <x:v>小6</x:v>
      </x:c>
      <x:c r="D115" s="106" t="str">
        <x:v>土地の変化</x:v>
      </x:c>
      <x:c r="E115" s="106" t="str">
        <x:v>因果</x:v>
      </x:c>
      <x:c r="F115" s="106" t="str">
        <x:v>B</x:v>
      </x:c>
      <x:c r="G115" s="106" t="str"/>
      <x:c r="H115" s="18" t="str">
        <x:v>地震による土地の変化</x:v>
      </x:c>
      <x:c r="I115" s="18" t="str">
        <x:v>断層（だんそう）のずれや隆起・沈降、液状化、津波、崖崩れなどで土地が変化する。揺れだけでなく二次災害も想定し、地域の地形に合った備えが必要。つながり：断層／隆起／液状化／津波</x:v>
      </x:c>
      <x:c r="J115" s="18" t="str">
        <x:v>断層／隆起／液状化／津波</x:v>
      </x:c>
    </x:row>
    <x:row r="116" ht="62" customHeight="1">
      <x:c r="A116" s="106" t="str">
        <x:v>INQ-023</x:v>
      </x:c>
      <x:c r="B116" s="106" t="str">
        <x:v>探究</x:v>
      </x:c>
      <x:c r="C116" s="106" t="str">
        <x:v>中1</x:v>
      </x:c>
      <x:c r="D116" s="106" t="str">
        <x:v>科学的探究</x:v>
      </x:c>
      <x:c r="E116" s="106" t="str">
        <x:v>用語</x:v>
      </x:c>
      <x:c r="F116" s="106" t="str">
        <x:v>B</x:v>
      </x:c>
      <x:c r="G116" s="106" t="str"/>
      <x:c r="H116" s="18" t="str">
        <x:v>同じ方法で結果を確かめ直せる性質</x:v>
      </x:c>
      <x:c r="I116" s="18" t="str">
        <x:v>条件・手順をそろえて繰り返したとき、同様の結果が得られる性質を、中学理科では広く再現性（さいげんせい）として扱う。厳密には、同じ人・器具・場所など同一条件での一致は反復性と呼び、条件を変えて確かめる再現性と区別することがある。つながり：再現性／反復性／実験手順／記録</x:v>
      </x:c>
      <x:c r="J116" s="18" t="str">
        <x:v>再現性／反復性／実験手順／記録</x:v>
      </x:c>
    </x:row>
    <x:row r="117" ht="62" customHeight="1">
      <x:c r="A117" s="106" t="str">
        <x:v>INQ-024</x:v>
      </x:c>
      <x:c r="B117" s="106" t="str">
        <x:v>探究</x:v>
      </x:c>
      <x:c r="C117" s="106" t="str">
        <x:v>中1</x:v>
      </x:c>
      <x:c r="D117" s="106" t="str">
        <x:v>科学的探究</x:v>
      </x:c>
      <x:c r="E117" s="106" t="str">
        <x:v>因果</x:v>
      </x:c>
      <x:c r="F117" s="106" t="str">
        <x:v>B</x:v>
      </x:c>
      <x:c r="G117" s="106" t="str"/>
      <x:c r="H117" s="18" t="str">
        <x:v>別の人や方法でも確かめる意味</x:v>
      </x:c>
      <x:c r="I117" s="18" t="str">
        <x:v>人・場所・装置が変わっても似た結論になるか調べると、特定の操作癖や装置だけによる結果を見抜ける。これは結果の客観性（きゃっかんせい）と信頼性を高める。つながり：追試／客観性／再現性（さいげんせい）／信頼性</x:v>
      </x:c>
      <x:c r="J117" s="18" t="str">
        <x:v>追試／客観性／再現性さいげんせい&lt;／rt&gt;&lt;／ruby&gt;／信頼性</x:v>
      </x:c>
    </x:row>
    <x:row r="118" ht="62" customHeight="1">
      <x:c r="A118" s="106" t="str">
        <x:v>INQ-025</x:v>
      </x:c>
      <x:c r="B118" s="106" t="str">
        <x:v>探究</x:v>
      </x:c>
      <x:c r="C118" s="106" t="str">
        <x:v>中1</x:v>
      </x:c>
      <x:c r="D118" s="106" t="str">
        <x:v>科学的探究</x:v>
      </x:c>
      <x:c r="E118" s="106" t="str">
        <x:v>用語</x:v>
      </x:c>
      <x:c r="F118" s="106" t="str">
        <x:v>A</x:v>
      </x:c>
      <x:c r="G118" s="106" t="str"/>
      <x:c r="H118" s="18" t="str">
        <x:v>だれが見ても検討できる記録</x:v>
      </x:c>
      <x:c r="I118" s="18" t="str">
        <x:v>測定値、条件、手順、判断基準を公開し、個人の印象だけに頼らない記録である。同じ証拠を他者が点検できることが客観性（きゃっかんせい）を支える。つながり：客観性／測定値／記録／証拠</x:v>
      </x:c>
      <x:c r="J118" s="18" t="str">
        <x:v>客観性／測定値／記録／証拠</x:v>
      </x:c>
    </x:row>
    <x:row r="119" ht="62" customHeight="1">
      <x:c r="A119" s="106" t="str">
        <x:v>INQ-026</x:v>
      </x:c>
      <x:c r="B119" s="106" t="str">
        <x:v>探究</x:v>
      </x:c>
      <x:c r="C119" s="106" t="str">
        <x:v>中1</x:v>
      </x:c>
      <x:c r="D119" s="106" t="str">
        <x:v>科学的探究</x:v>
      </x:c>
      <x:c r="E119" s="106" t="str">
        <x:v>因果</x:v>
      </x:c>
      <x:c r="F119" s="106" t="str">
        <x:v>A</x:v>
      </x:c>
      <x:c r="G119" s="106" t="str"/>
      <x:c r="H119" s="18" t="str">
        <x:v>仮説（かせつ）を支持する証拠の条件</x:v>
      </x:c>
      <x:c r="I119" s="18" t="str">
        <x:v>仮説（かせつ）から予想される結果と一致し、別の説明や偶然では説明しにくいデータである。一致する一例だけで「完全に証明」とせず、反対の結果も探す。つながり：仮説／証拠／別解釈／反証</x:v>
      </x:c>
      <x:c r="J119" s="18" t="str">
        <x:v>仮説／証拠／別解釈／反証</x:v>
      </x:c>
    </x:row>
    <x:row r="120" ht="62" customHeight="1">
      <x:c r="A120" s="106" t="str">
        <x:v>INQ-047</x:v>
      </x:c>
      <x:c r="B120" s="106" t="str">
        <x:v>探究</x:v>
      </x:c>
      <x:c r="C120" s="106" t="str">
        <x:v>中1</x:v>
      </x:c>
      <x:c r="D120" s="106" t="str">
        <x:v>表とグラフ</x:v>
      </x:c>
      <x:c r="E120" s="106" t="str">
        <x:v>誤解対策</x:v>
      </x:c>
      <x:c r="F120" s="106" t="str">
        <x:v>A</x:v>
      </x:c>
      <x:c r="G120" s="106" t="str"/>
      <x:c r="H120" s="18" t="str">
        <x:v>原点を省いたグラフの注意</x:v>
      </x:c>
      <x:c r="I120" s="18" t="str">
        <x:v>変化を拡大して見やすくできる一方、差が実際より大きく見えることがある。軸の開始値と途中の省略記号を確認し、棒の高さだけで差の割合を判断しない。つながり：原点／軸の省略／見かけの差／資料読解</x:v>
      </x:c>
      <x:c r="J120" s="18" t="str">
        <x:v>原点／軸の省略／見かけの差／資料読解</x:v>
      </x:c>
    </x:row>
    <x:row r="121" ht="62" customHeight="1">
      <x:c r="A121" s="106" t="str">
        <x:v>INQ-049</x:v>
      </x:c>
      <x:c r="B121" s="106" t="str">
        <x:v>探究</x:v>
      </x:c>
      <x:c r="C121" s="106" t="str">
        <x:v>中1</x:v>
      </x:c>
      <x:c r="D121" s="106" t="str">
        <x:v>表とグラフ</x:v>
      </x:c>
      <x:c r="E121" s="106" t="str">
        <x:v>読図</x:v>
      </x:c>
      <x:c r="F121" s="106" t="str">
        <x:v>A</x:v>
      </x:c>
      <x:c r="G121" s="106" t="str"/>
      <x:c r="H121" s="18" t="str">
        <x:v>測定点を順番に結ばない場合</x:v>
      </x:c>
      <x:c r="I121" s="18" t="str">
        <x:v>連続した関係を調べ、測定誤差で点が散らばるときは、全体の傾向を表す直線や曲線を引く。各点を折れ線で結ぶと、測っていない細かな上下まで事実のように見える。つながり：近似線／測定誤差／傾向／散布図</x:v>
      </x:c>
      <x:c r="J121" s="18" t="str">
        <x:v>近似線／測定誤差／傾向／散布図</x:v>
      </x:c>
    </x:row>
    <x:row r="122" ht="62" customHeight="1">
      <x:c r="A122" s="106" t="str">
        <x:v>INQ-052</x:v>
      </x:c>
      <x:c r="B122" s="106" t="str">
        <x:v>探究</x:v>
      </x:c>
      <x:c r="C122" s="106" t="str">
        <x:v>中1</x:v>
      </x:c>
      <x:c r="D122" s="106" t="str">
        <x:v>表とグラフ</x:v>
      </x:c>
      <x:c r="E122" s="106" t="str">
        <x:v>誤解対策</x:v>
      </x:c>
      <x:c r="F122" s="106" t="str">
        <x:v>A</x:v>
      </x:c>
      <x:c r="G122" s="106" t="str"/>
      <x:c r="H122" s="18" t="str">
        <x:v>原点を通る直線が示す関係</x:v>
      </x:c>
      <x:c r="I122" s="18" t="str">
        <x:v>一方が2倍、3倍になると他方も2倍、3倍になる比例関係を示す。直線でも原点を通らなければ、単純な比例とはいえない。つながり：比例／原点／直線／比例定数</x:v>
      </x:c>
      <x:c r="J122" s="18" t="str">
        <x:v>比例／原点／直線／比例定数</x:v>
      </x:c>
    </x:row>
    <x:row r="123" ht="62" customHeight="1">
      <x:c r="A123" s="106" t="str">
        <x:v>INQ-054</x:v>
      </x:c>
      <x:c r="B123" s="106" t="str">
        <x:v>探究</x:v>
      </x:c>
      <x:c r="C123" s="106" t="str">
        <x:v>中1</x:v>
      </x:c>
      <x:c r="D123" s="106" t="str">
        <x:v>表とグラフ</x:v>
      </x:c>
      <x:c r="E123" s="106" t="str">
        <x:v>読図</x:v>
      </x:c>
      <x:c r="F123" s="106" t="str">
        <x:v>A</x:v>
      </x:c>
      <x:c r="G123" s="106" t="str"/>
      <x:c r="H123" s="18" t="str">
        <x:v>グラフの水平部分の読み方</x:v>
      </x:c>
      <x:c r="I123" s="18" t="str">
        <x:v>横軸が進んでも縦軸の量が変わらないことを示す。ただし「何も起きていない」とは限らず、沸騰中のように温度一定でも状態変化が進む場合がある。つながり：水平部分／変化なし／状態変化／加熱曲線</x:v>
      </x:c>
      <x:c r="J123" s="18" t="str">
        <x:v>水平部分／変化なし／状態変化／加熱曲線</x:v>
      </x:c>
    </x:row>
    <x:row r="124" ht="62" customHeight="1">
      <x:c r="A124" s="106" t="str">
        <x:v>INQ-061</x:v>
      </x:c>
      <x:c r="B124" s="106" t="str">
        <x:v>探究</x:v>
      </x:c>
      <x:c r="C124" s="106" t="str">
        <x:v>中1</x:v>
      </x:c>
      <x:c r="D124" s="106" t="str">
        <x:v>比例・割合・単位</x:v>
      </x:c>
      <x:c r="E124" s="106" t="str">
        <x:v>計算</x:v>
      </x:c>
      <x:c r="F124" s="106" t="str">
        <x:v>A</x:v>
      </x:c>
      <x:c r="G124" s="106" t="str"/>
      <x:c r="H124" s="18" t="str">
        <x:v>面積の換算で倍率を二乗する理由</x:v>
      </x:c>
      <x:c r="I124" s="18" t="str">
        <x:v>1 m=100 cmなので、1 m²は縦100 cm×横100 cm=10000 cm²になる。長さの倍率を一度だけ掛ける誤りに注意する。つながり：面積／平方メートル／単位換算／圧力</x:v>
      </x:c>
      <x:c r="J124" s="18" t="str">
        <x:v>面積／平方メートル／単位換算／圧力</x:v>
      </x:c>
    </x:row>
    <x:row r="125" ht="62" customHeight="1">
      <x:c r="A125" s="106" t="str">
        <x:v>INQ-062</x:v>
      </x:c>
      <x:c r="B125" s="106" t="str">
        <x:v>探究</x:v>
      </x:c>
      <x:c r="C125" s="106" t="str">
        <x:v>中1</x:v>
      </x:c>
      <x:c r="D125" s="106" t="str">
        <x:v>比例・割合・単位</x:v>
      </x:c>
      <x:c r="E125" s="106" t="str">
        <x:v>計算</x:v>
      </x:c>
      <x:c r="F125" s="106" t="str">
        <x:v>A</x:v>
      </x:c>
      <x:c r="G125" s="106" t="str"/>
      <x:c r="H125" s="18" t="str">
        <x:v>体積の換算で倍率を三乗する理由</x:v>
      </x:c>
      <x:c r="I125" s="18" t="str">
        <x:v>立方体の縦・横・高さの三方向すべてを換算するためである。1 m³=(100 cm)³=1000000 cm³で、長さの倍率を三回掛ける。つながり：体積／立方メートル／単位換算／密度</x:v>
      </x:c>
      <x:c r="J125" s="18" t="str">
        <x:v>体積／立方メートル／単位換算／密度</x:v>
      </x:c>
    </x:row>
    <x:row r="126" ht="62" customHeight="1">
      <x:c r="A126" s="106" t="str">
        <x:v>INQ-066</x:v>
      </x:c>
      <x:c r="B126" s="106" t="str">
        <x:v>探究</x:v>
      </x:c>
      <x:c r="C126" s="106" t="str">
        <x:v>中1</x:v>
      </x:c>
      <x:c r="D126" s="106" t="str">
        <x:v>比例・割合・単位</x:v>
      </x:c>
      <x:c r="E126" s="106" t="str">
        <x:v>計算</x:v>
      </x:c>
      <x:c r="F126" s="106" t="str">
        <x:v>A</x:v>
      </x:c>
      <x:c r="G126" s="106" t="n">
        <x:v>16</x:v>
      </x:c>
      <x:c r="H126" s="18" t="str">
        <x:v>複数の単位が混じる計算の順序</x:v>
      </x:c>
      <x:c r="I126" s="18" t="str">
        <x:v>式へ代入する前に、長さ・時間・質量などを一つの単位系へそろえる。計算後に求められた単位を確認し、指定された単位へ直すと換算漏れを防げる。つながり：単位換算／式／検算／物理量</x:v>
      </x:c>
      <x:c r="J126" s="18" t="str">
        <x:v>単位換算／式／検算／物理量</x:v>
      </x:c>
    </x:row>
    <x:row r="127" ht="62" customHeight="1">
      <x:c r="A127" s="106" t="str">
        <x:v>INQ-069</x:v>
      </x:c>
      <x:c r="B127" s="106" t="str">
        <x:v>探究</x:v>
      </x:c>
      <x:c r="C127" s="106" t="str">
        <x:v>中1</x:v>
      </x:c>
      <x:c r="D127" s="106" t="str">
        <x:v>比例・割合・単位</x:v>
      </x:c>
      <x:c r="E127" s="106" t="str">
        <x:v>計算</x:v>
      </x:c>
      <x:c r="F127" s="106" t="str">
        <x:v>A</x:v>
      </x:c>
      <x:c r="G127" s="106" t="str"/>
      <x:c r="H127" s="18" t="str">
        <x:v>倍率をそろえて比例の未知量を求める</x:v>
      </x:c>
      <x:c r="I127" s="18" t="str">
        <x:v>対応する二量の組を確認し、一方が何倍かをもう一方にも掛ける。単位当たり量を先に求めてもよく、交差に掛けるだけで対応関係を見失わない。つながり：比例／倍率／単位当たり量／比例定数</x:v>
      </x:c>
      <x:c r="J127" s="18" t="str">
        <x:v>比例／倍率／単位当たり量／比例定数</x:v>
      </x:c>
    </x:row>
    <x:row r="128" ht="62" customHeight="1">
      <x:c r="A128" s="106" t="str">
        <x:v>INQ-070</x:v>
      </x:c>
      <x:c r="B128" s="106" t="str">
        <x:v>探究</x:v>
      </x:c>
      <x:c r="C128" s="106" t="str">
        <x:v>中1</x:v>
      </x:c>
      <x:c r="D128" s="106" t="str">
        <x:v>比例・割合・単位</x:v>
      </x:c>
      <x:c r="E128" s="106" t="str">
        <x:v>比較</x:v>
      </x:c>
      <x:c r="F128" s="106" t="str">
        <x:v>B</x:v>
      </x:c>
      <x:c r="G128" s="106" t="str"/>
      <x:c r="H128" s="18" t="str">
        <x:v>表から比例と反比例を見分ける</x:v>
      </x:c>
      <x:c r="I128" s="18" t="str">
        <x:v>対応する値で、縦÷横が一定なら比例、縦×横が一定なら反比例を疑う。二組だけで決めず複数組を確かめ、測定誤差があればほぼ一定かを見る。つながり：比例／反比例／比／積</x:v>
      </x:c>
      <x:c r="J128" s="18" t="str">
        <x:v>比例／反比例／比／積</x:v>
      </x:c>
    </x:row>
    <x:row r="129" ht="62" customHeight="1">
      <x:c r="A129" s="106" t="str">
        <x:v>INQ-076</x:v>
      </x:c>
      <x:c r="B129" s="106" t="str">
        <x:v>探究</x:v>
      </x:c>
      <x:c r="C129" s="106" t="str">
        <x:v>中1</x:v>
      </x:c>
      <x:c r="D129" s="106" t="str">
        <x:v>実験器具と安全</x:v>
      </x:c>
      <x:c r="E129" s="106" t="str">
        <x:v>実験</x:v>
      </x:c>
      <x:c r="F129" s="106" t="str">
        <x:v>A</x:v>
      </x:c>
      <x:c r="G129" s="106" t="str"/>
      <x:c r="H129" s="18" t="str">
        <x:v>試験管の液を少量にして加熱する理由</x:v>
      </x:c>
      <x:c r="I129" s="18" t="str">
        <x:v>液が多いと熱が不均一になり、沸騰時に噴き出しやすい。外側の水滴を拭き、口を人へ向けず、炎を一か所へ当て続けない。つながり：試験管／加熱／突沸／熱膨張</x:v>
      </x:c>
      <x:c r="J129" s="18" t="str">
        <x:v>試験管／加熱／突沸／熱膨張</x:v>
      </x:c>
    </x:row>
    <x:row r="130" ht="62" customHeight="1">
      <x:c r="A130" s="106" t="str">
        <x:v>INQ-077</x:v>
      </x:c>
      <x:c r="B130" s="106" t="str">
        <x:v>探究</x:v>
      </x:c>
      <x:c r="C130" s="106" t="str">
        <x:v>中1</x:v>
      </x:c>
      <x:c r="D130" s="106" t="str">
        <x:v>実験器具と安全</x:v>
      </x:c>
      <x:c r="E130" s="106" t="str">
        <x:v>実験</x:v>
      </x:c>
      <x:c r="F130" s="106" t="str">
        <x:v>A</x:v>
      </x:c>
      <x:c r="G130" s="106" t="n">
        <x:v>18</x:v>
      </x:c>
      <x:c r="H130" s="18" t="str">
        <x:v>危険性が不明な物質を扱う前</x:v>
      </x:c>
      <x:c r="I130" s="18" t="str">
        <x:v>ラベルと指示を確認し、必要な保護具・換気・火気の有無・廃棄方法を決める。正体を確かめるために直接触れる、味見する、むやみに混ぜる操作はしない。つながり：ラベル／保護具／換気／薬品安全</x:v>
      </x:c>
      <x:c r="J130" s="18" t="str">
        <x:v>ラベル／保護具／換気／薬品安全</x:v>
      </x:c>
    </x:row>
    <x:row r="131" ht="62" customHeight="1">
      <x:c r="A131" s="106" t="str">
        <x:v>INQ-080</x:v>
      </x:c>
      <x:c r="B131" s="106" t="str">
        <x:v>探究</x:v>
      </x:c>
      <x:c r="C131" s="106" t="str">
        <x:v>中1</x:v>
      </x:c>
      <x:c r="D131" s="106" t="str">
        <x:v>実験器具と安全</x:v>
      </x:c>
      <x:c r="E131" s="106" t="str">
        <x:v>因果</x:v>
      </x:c>
      <x:c r="F131" s="106" t="str">
        <x:v>A</x:v>
      </x:c>
      <x:c r="G131" s="106" t="str"/>
      <x:c r="H131" s="18" t="str">
        <x:v>加熱中の実験台を離れない理由</x:v>
      </x:c>
      <x:c r="I131" s="18" t="str">
        <x:v>炎の立ち消え、沸騰、発火、器具の転倒は短時間で起こりうる。離れる必要があれば先に火・電源を止め、安全な状態を確認して教師へ伝える。つながり：加熱／火気／電源／実験監視</x:v>
      </x:c>
      <x:c r="J131" s="18" t="str">
        <x:v>加熱／火気／電源／実験監視</x:v>
      </x:c>
    </x:row>
    <x:row r="132" ht="62" customHeight="1">
      <x:c r="A132" s="106" t="str">
        <x:v>INQ-087</x:v>
      </x:c>
      <x:c r="B132" s="106" t="str">
        <x:v>探究</x:v>
      </x:c>
      <x:c r="C132" s="106" t="str">
        <x:v>中1</x:v>
      </x:c>
      <x:c r="D132" s="106" t="str">
        <x:v>資料読解</x:v>
      </x:c>
      <x:c r="E132" s="106" t="str">
        <x:v>比較</x:v>
      </x:c>
      <x:c r="F132" s="106" t="str">
        <x:v>A</x:v>
      </x:c>
      <x:c r="G132" s="106" t="str"/>
      <x:c r="H132" s="18" t="str">
        <x:v>資料中の事実と主張を分ける</x:v>
      </x:c>
      <x:c r="I132" s="18" t="str">
        <x:v>数値・観察記録は証拠、そこから導く「原因はAだ」などは主張である。まず資料に直接書かれた事実を抜き出し、主張がその事実で支えられるか確かめる。つながり：事実／主張／証拠／解釈</x:v>
      </x:c>
      <x:c r="J132" s="18" t="str">
        <x:v>事実／主張／証拠／解釈</x:v>
      </x:c>
    </x:row>
    <x:row r="133" ht="62" customHeight="1">
      <x:c r="A133" s="106" t="str">
        <x:v>INQ-090</x:v>
      </x:c>
      <x:c r="B133" s="106" t="str">
        <x:v>探究</x:v>
      </x:c>
      <x:c r="C133" s="106" t="str">
        <x:v>中1</x:v>
      </x:c>
      <x:c r="D133" s="106" t="str">
        <x:v>資料読解</x:v>
      </x:c>
      <x:c r="E133" s="106" t="str">
        <x:v>読図</x:v>
      </x:c>
      <x:c r="F133" s="106" t="str">
        <x:v>A</x:v>
      </x:c>
      <x:c r="G133" s="106" t="str"/>
      <x:c r="H133" s="18" t="str">
        <x:v>図の凡例を先に読む理由</x:v>
      </x:c>
      <x:c r="I133" s="18" t="str">
        <x:v>色、線種、記号が何を表すかは図ごとに異なる。凡例を確認せず、青を水、赤を高温などと決めつけると誤読する。つながり：凡例／記号／天気図／地質図</x:v>
      </x:c>
      <x:c r="J133" s="18" t="str">
        <x:v>凡例／記号／天気図／地質図</x:v>
      </x:c>
    </x:row>
    <x:row r="134" ht="62" customHeight="1">
      <x:c r="A134" s="106" t="str">
        <x:v>PHY-002</x:v>
      </x:c>
      <x:c r="B134" s="106" t="str">
        <x:v>物理</x:v>
      </x:c>
      <x:c r="C134" s="106" t="str">
        <x:v>中1</x:v>
      </x:c>
      <x:c r="D134" s="106" t="str">
        <x:v>測定</x:v>
      </x:c>
      <x:c r="E134" s="106" t="str">
        <x:v>実験</x:v>
      </x:c>
      <x:c r="F134" s="106" t="str">
        <x:v>A</x:v>
      </x:c>
      <x:c r="G134" s="106" t="str"/>
      <x:c r="H134" s="18" t="str">
        <x:v>目盛りの読み方</x:v>
      </x:c>
      <x:c r="I134" s="18" t="str">
        <x:v>液面と目の高さをそろえて視差（しさ）を防ぐ。学校実験で連続量を測るアナログ器具は、通常は最小目盛りの1/10まで目分量で読むが、器具や指示に従う。デジタル器具は表示された桁まで記録する。つながり：視差／メスシリンダー／測定誤差</x:v>
      </x:c>
      <x:c r="J134" s="18" t="str">
        <x:v>視差／メスシリンダー／測定誤差</x:v>
      </x:c>
    </x:row>
    <x:row r="135" ht="62" customHeight="1">
      <x:c r="A135" s="106" t="str">
        <x:v>PHY-004</x:v>
      </x:c>
      <x:c r="B135" s="106" t="str">
        <x:v>物理</x:v>
      </x:c>
      <x:c r="C135" s="106" t="str">
        <x:v>中1</x:v>
      </x:c>
      <x:c r="D135" s="106" t="str">
        <x:v>測定</x:v>
      </x:c>
      <x:c r="E135" s="106" t="str">
        <x:v>実験</x:v>
      </x:c>
      <x:c r="F135" s="106" t="str">
        <x:v>B</x:v>
      </x:c>
      <x:c r="G135" s="106" t="str"/>
      <x:c r="H135" s="18" t="str">
        <x:v>不規則な物体の体積</x:v>
      </x:c>
      <x:c r="I135" s="18" t="str">
        <x:v>水に沈む物体なら、メスシリンダーの水位の増加分が物体の体積になる。物体を完全に沈め、気泡を付けない。水に溶ける物体には使えない。つながり：体積／メスシリンダー／浮力（ふりょく）</x:v>
      </x:c>
      <x:c r="J135" s="18" t="str">
        <x:v>体積／メスシリンダー／浮力ふりょく&lt;／rt&gt;&lt;／ruby&gt;</x:v>
      </x:c>
    </x:row>
    <x:row r="136" ht="62" customHeight="1">
      <x:c r="A136" s="106" t="str">
        <x:v>PHY-005</x:v>
      </x:c>
      <x:c r="B136" s="106" t="str">
        <x:v>物理</x:v>
      </x:c>
      <x:c r="C136" s="106" t="str">
        <x:v>中1</x:v>
      </x:c>
      <x:c r="D136" s="106" t="str">
        <x:v>測定</x:v>
      </x:c>
      <x:c r="E136" s="106" t="str">
        <x:v>用語</x:v>
      </x:c>
      <x:c r="F136" s="106" t="str">
        <x:v>A</x:v>
      </x:c>
      <x:c r="G136" s="106" t="str"/>
      <x:c r="H136" s="18" t="str">
        <x:v>質量</x:v>
      </x:c>
      <x:c r="I136" s="18" t="str">
        <x:v>物体そのものの量で、場所が変わっても同じ。上皿てんびんや電子てんびんで測り、gやkgで表す。重力による力である重さとは区別する。つながり：てんびん／重さ／密度</x:v>
      </x:c>
      <x:c r="J136" s="18" t="str">
        <x:v>てんびん／重さ／密度</x:v>
      </x:c>
    </x:row>
    <x:row r="137" ht="62" customHeight="1">
      <x:c r="A137" s="106" t="str">
        <x:v>PHY-013</x:v>
      </x:c>
      <x:c r="B137" s="106" t="str">
        <x:v>物理</x:v>
      </x:c>
      <x:c r="C137" s="106" t="str">
        <x:v>中1</x:v>
      </x:c>
      <x:c r="D137" s="106" t="str">
        <x:v>光</x:v>
      </x:c>
      <x:c r="E137" s="106" t="str">
        <x:v>用語</x:v>
      </x:c>
      <x:c r="F137" s="106" t="str">
        <x:v>A</x:v>
      </x:c>
      <x:c r="G137" s="106" t="str"/>
      <x:c r="H137" s="18" t="str">
        <x:v>光の反射（はんしゃ）</x:v>
      </x:c>
      <x:c r="I137" s="18" t="str">
        <x:v>光が物体の表面ではね返る現象。入射光、反射（はんしゃ）光、法線は同一平面上にあり、入射角＝反射角となる。角度は鏡の面ではなく法線から測る。つながり：入射角／反射角／法線</x:v>
      </x:c>
      <x:c r="J137" s="18" t="str">
        <x:v>入射角／反射角／法線</x:v>
      </x:c>
    </x:row>
    <x:row r="138" ht="62" customHeight="1">
      <x:c r="A138" s="106" t="str">
        <x:v>PHY-014</x:v>
      </x:c>
      <x:c r="B138" s="106" t="str">
        <x:v>物理</x:v>
      </x:c>
      <x:c r="C138" s="106" t="str">
        <x:v>中1</x:v>
      </x:c>
      <x:c r="D138" s="106" t="str">
        <x:v>光</x:v>
      </x:c>
      <x:c r="E138" s="106" t="str">
        <x:v>計算</x:v>
      </x:c>
      <x:c r="F138" s="106" t="str">
        <x:v>A</x:v>
      </x:c>
      <x:c r="G138" s="106" t="n">
        <x:v>34</x:v>
      </x:c>
      <x:c r="H138" s="18" t="str">
        <x:v>入射角と反射（はんしゃ）角</x:v>
      </x:c>
      <x:c r="I138" s="18" t="str">
        <x:v>入射角は入射光と法線のなす角、反射（はんしゃ）角は反射光と法線のなす角。反射の法則により常に等しい。鏡面との角度が示されたら90°から引く。つながり：反射の法則／法線／平面鏡</x:v>
      </x:c>
      <x:c r="J138" s="18" t="str">
        <x:v>反射の法則／法線／平面鏡</x:v>
      </x:c>
    </x:row>
    <x:row r="139" ht="62" customHeight="1">
      <x:c r="A139" s="106" t="str">
        <x:v>PHY-015</x:v>
      </x:c>
      <x:c r="B139" s="106" t="str">
        <x:v>物理</x:v>
      </x:c>
      <x:c r="C139" s="106" t="str">
        <x:v>中1</x:v>
      </x:c>
      <x:c r="D139" s="106" t="str">
        <x:v>光</x:v>
      </x:c>
      <x:c r="E139" s="106" t="str">
        <x:v>用語</x:v>
      </x:c>
      <x:c r="F139" s="106" t="str">
        <x:v>A</x:v>
      </x:c>
      <x:c r="G139" s="106" t="str"/>
      <x:c r="H139" s="18" t="str">
        <x:v>平面鏡の像</x:v>
      </x:c>
      <x:c r="I139" s="18" t="str">
        <x:v>像は鏡の奥に、物体と鏡の距離と同じだけ離れて見え、大きさも同じ。光が実際に鏡の奥から来るのではなく、反射（はんしゃ）光を後方へ延長した交点に見える虚像（きょぞう）である。つながり：虚像／反射／対称</x:v>
      </x:c>
      <x:c r="J139" s="18" t="str">
        <x:v>虚像／反射／対称</x:v>
      </x:c>
    </x:row>
    <x:row r="140" ht="62" customHeight="1">
      <x:c r="A140" s="106" t="str">
        <x:v>PHY-016</x:v>
      </x:c>
      <x:c r="B140" s="106" t="str">
        <x:v>物理</x:v>
      </x:c>
      <x:c r="C140" s="106" t="str">
        <x:v>中1</x:v>
      </x:c>
      <x:c r="D140" s="106" t="str">
        <x:v>光</x:v>
      </x:c>
      <x:c r="E140" s="106" t="str">
        <x:v>誤解対策</x:v>
      </x:c>
      <x:c r="F140" s="106" t="str">
        <x:v>C</x:v>
      </x:c>
      <x:c r="G140" s="106" t="str"/>
      <x:c r="H140" s="18" t="str">
        <x:v>鏡で全身を見る条件</x:v>
      </x:c>
      <x:c r="I140" s="18" t="str">
        <x:v>平面鏡で全身を見るのに必要な鏡の縦の長さは、目の位置によらず身長の1/2。頭頂と足先から目へ届く反射（はんしゃ）光を作図すると分かり、鏡から離れても必要な長さは変わらない。つながり：平面鏡／反射の作図／相似</x:v>
      </x:c>
      <x:c r="J140" s="18" t="str">
        <x:v>平面鏡／反射の作図／相似</x:v>
      </x:c>
    </x:row>
    <x:row r="141" ht="62" customHeight="1">
      <x:c r="A141" s="106" t="str">
        <x:v>PHY-017</x:v>
      </x:c>
      <x:c r="B141" s="106" t="str">
        <x:v>物理</x:v>
      </x:c>
      <x:c r="C141" s="106" t="str">
        <x:v>中1</x:v>
      </x:c>
      <x:c r="D141" s="106" t="str">
        <x:v>光</x:v>
      </x:c>
      <x:c r="E141" s="106" t="str">
        <x:v>用語</x:v>
      </x:c>
      <x:c r="F141" s="106" t="str">
        <x:v>A</x:v>
      </x:c>
      <x:c r="G141" s="106" t="n">
        <x:v>35</x:v>
      </x:c>
      <x:c r="H141" s="18" t="str">
        <x:v>屈折（くっせつ）</x:v>
      </x:c>
      <x:c r="I141" s="18" t="str">
        <x:v>光が異なる物質の境界を斜めに通ると、速さが変わって進む向きも変わる現象。空気から水・ガラスへ入ると法線側へ、水・ガラスから空気へ出ると法線から離れる。つながり：法線／全反射（はんしゃ）／凸レンズ</x:v>
      </x:c>
      <x:c r="J141" s="18" t="str">
        <x:v>法線／全反射はんしゃ&lt;／rt&gt;&lt;／ruby&gt;／凸レンズ</x:v>
      </x:c>
    </x:row>
    <x:row r="142" ht="62" customHeight="1">
      <x:c r="A142" s="106" t="str">
        <x:v>PHY-018</x:v>
      </x:c>
      <x:c r="B142" s="106" t="str">
        <x:v>物理</x:v>
      </x:c>
      <x:c r="C142" s="106" t="str">
        <x:v>中1</x:v>
      </x:c>
      <x:c r="D142" s="106" t="str">
        <x:v>光</x:v>
      </x:c>
      <x:c r="E142" s="106" t="str">
        <x:v>比較</x:v>
      </x:c>
      <x:c r="F142" s="106" t="str">
        <x:v>A</x:v>
      </x:c>
      <x:c r="G142" s="106" t="str"/>
      <x:c r="H142" s="18" t="str">
        <x:v>屈折（くっせつ）角</x:v>
      </x:c>
      <x:c r="I142" s="18" t="str">
        <x:v>屈折（くっせつ）した光と法線のなす角。空気から水へ進むと屈折角は入射角より小さく、水から空気へ進むと大きい。垂直に入射すると向きは変わらない。つながり：入射角／法線／屈折</x:v>
      </x:c>
      <x:c r="J142" s="18" t="str">
        <x:v>入射角／法線／屈折</x:v>
      </x:c>
    </x:row>
    <x:row r="143" ht="62" customHeight="1">
      <x:c r="A143" s="106" t="str">
        <x:v>PHY-019</x:v>
      </x:c>
      <x:c r="B143" s="106" t="str">
        <x:v>物理</x:v>
      </x:c>
      <x:c r="C143" s="106" t="str">
        <x:v>中1</x:v>
      </x:c>
      <x:c r="D143" s="106" t="str">
        <x:v>光</x:v>
      </x:c>
      <x:c r="E143" s="106" t="str">
        <x:v>因果</x:v>
      </x:c>
      <x:c r="F143" s="106" t="str">
        <x:v>B</x:v>
      </x:c>
      <x:c r="G143" s="106" t="str"/>
      <x:c r="H143" s="18" t="str">
        <x:v>水中の物体が浅く見える理由</x:v>
      </x:c>
      <x:c r="I143" s="18" t="str">
        <x:v>水中の物体から出た光が水面で法線から離れる向きに屈折（くっせつ）し、目は光が直進してきたと判断するため、光線を逆向きに延長した位置に物体があるように見える。つながり：屈折／虚像（きょぞう）／光の直進</x:v>
      </x:c>
      <x:c r="J143" s="18" t="str">
        <x:v>屈折／虚像きょぞう&lt;／rt&gt;&lt;／ruby&gt;／光の直進</x:v>
      </x:c>
    </x:row>
    <x:row r="144" ht="62" customHeight="1">
      <x:c r="A144" s="106" t="str">
        <x:v>PHY-020</x:v>
      </x:c>
      <x:c r="B144" s="106" t="str">
        <x:v>物理</x:v>
      </x:c>
      <x:c r="C144" s="106" t="str">
        <x:v>中1</x:v>
      </x:c>
      <x:c r="D144" s="106" t="str">
        <x:v>光</x:v>
      </x:c>
      <x:c r="E144" s="106" t="str">
        <x:v>用語</x:v>
      </x:c>
      <x:c r="F144" s="106" t="str">
        <x:v>B</x:v>
      </x:c>
      <x:c r="G144" s="106" t="str"/>
      <x:c r="H144" s="18" t="str">
        <x:v>全反射（ぜんはんしゃ）</x:v>
      </x:c>
      <x:c r="I144" s="18" t="str">
        <x:v>水やガラスなど光が遅い物質から空気側へ進むとき、入射角が一定以上になると境界を通り抜けず、すべて反射（はんしゃ）する現象。空気側から水側へでは起こらない。つながり：屈折（くっせつ）／臨界角／光ファイバー</x:v>
      </x:c>
      <x:c r="J144" s="18" t="str">
        <x:v>屈折くっせつ&lt;／rt&gt;&lt;／ruby&gt;／臨界角／光ファイバー</x:v>
      </x:c>
    </x:row>
    <x:row r="145" ht="62" customHeight="1">
      <x:c r="A145" s="106" t="str">
        <x:v>PHY-021</x:v>
      </x:c>
      <x:c r="B145" s="106" t="str">
        <x:v>物理</x:v>
      </x:c>
      <x:c r="C145" s="106" t="str">
        <x:v>中1</x:v>
      </x:c>
      <x:c r="D145" s="106" t="str">
        <x:v>光</x:v>
      </x:c>
      <x:c r="E145" s="106" t="str">
        <x:v>用語</x:v>
      </x:c>
      <x:c r="F145" s="106" t="str">
        <x:v>A</x:v>
      </x:c>
      <x:c r="G145" s="106" t="n">
        <x:v>36</x:v>
      </x:c>
      <x:c r="H145" s="18" t="str">
        <x:v>凸（とつ）レンズ</x:v>
      </x:c>
      <x:c r="I145" s="18" t="str">
        <x:v>中央が厚く、平行な光を集めるレンズ。光軸に平行な光は屈折（くっせつ）後に焦点（しょうてん）を通り、レンズの中心を通る光はほぼ直進する。この2本を使って像を作図する。つながり：焦点／実像（じつぞう）／屈折</x:v>
      </x:c>
      <x:c r="J145" s="18" t="str">
        <x:v>焦点／実像じつぞう&lt;／rt&gt;&lt;／ruby&gt;／屈折</x:v>
      </x:c>
    </x:row>
    <x:row r="146" ht="62" customHeight="1">
      <x:c r="A146" s="106" t="str">
        <x:v>PHY-022</x:v>
      </x:c>
      <x:c r="B146" s="106" t="str">
        <x:v>物理</x:v>
      </x:c>
      <x:c r="C146" s="106" t="str">
        <x:v>中1</x:v>
      </x:c>
      <x:c r="D146" s="106" t="str">
        <x:v>光</x:v>
      </x:c>
      <x:c r="E146" s="106" t="str">
        <x:v>用語</x:v>
      </x:c>
      <x:c r="F146" s="106" t="str">
        <x:v>A</x:v>
      </x:c>
      <x:c r="G146" s="106" t="str"/>
      <x:c r="H146" s="18" t="str">
        <x:v>焦点（しょうてん）と焦点距離</x:v>
      </x:c>
      <x:c r="I146" s="18" t="str">
        <x:v>光軸に平行な光が凸レンズで屈折（くっせつ）して集まる点が焦点（しょうてん）。レンズの中心から焦点までが焦点距離で、同じレンズなら基本的に一定。レンズの両側に焦点がある。つながり：凸レンズ／光軸／実像（じつぞう）</x:v>
      </x:c>
      <x:c r="J146" s="18" t="str">
        <x:v>凸レンズ／光軸／実像じつぞう&lt;／rt&gt;&lt;／ruby&gt;</x:v>
      </x:c>
    </x:row>
    <x:row r="147" ht="62" customHeight="1">
      <x:c r="A147" s="106" t="str">
        <x:v>PHY-023</x:v>
      </x:c>
      <x:c r="B147" s="106" t="str">
        <x:v>物理</x:v>
      </x:c>
      <x:c r="C147" s="106" t="str">
        <x:v>中1</x:v>
      </x:c>
      <x:c r="D147" s="106" t="str">
        <x:v>光</x:v>
      </x:c>
      <x:c r="E147" s="106" t="str">
        <x:v>用語</x:v>
      </x:c>
      <x:c r="F147" s="106" t="str">
        <x:v>A</x:v>
      </x:c>
      <x:c r="G147" s="106" t="str"/>
      <x:c r="H147" s="18" t="str">
        <x:v>実像（じつぞう）</x:v>
      </x:c>
      <x:c r="I147" s="18" t="str">
        <x:v>光が実際に集まってでき、スクリーンに映せる像。凸レンズで物体を焦点（しょうてん）の外側に置くとでき、上下左右が逆の倒立像になる。物体を焦点へ近づけるほど像は遠く、大きくなる。つながり：凸レンズ／虚像（きょぞう）／スクリーン</x:v>
      </x:c>
      <x:c r="J147" s="18" t="str">
        <x:v>凸レンズ／虚像きょぞう&lt;／rt&gt;&lt;／ruby&gt;／スクリーン</x:v>
      </x:c>
    </x:row>
    <x:row r="148" ht="62" customHeight="1">
      <x:c r="A148" s="106" t="str">
        <x:v>PHY-024</x:v>
      </x:c>
      <x:c r="B148" s="106" t="str">
        <x:v>物理</x:v>
      </x:c>
      <x:c r="C148" s="106" t="str">
        <x:v>中1</x:v>
      </x:c>
      <x:c r="D148" s="106" t="str">
        <x:v>光</x:v>
      </x:c>
      <x:c r="E148" s="106" t="str">
        <x:v>比較</x:v>
      </x:c>
      <x:c r="F148" s="106" t="str">
        <x:v>A</x:v>
      </x:c>
      <x:c r="G148" s="106" t="str"/>
      <x:c r="H148" s="18" t="str">
        <x:v>虚像（きょぞう）</x:v>
      </x:c>
      <x:c r="I148" s="18" t="str">
        <x:v>光が実際には集まらず、光線を逆向きに延長した位置に見える像。スクリーンには映らない。凸レンズでは物体を焦点（しょうてん）の内側に置くと、正立で拡大した虚像（きょぞう）になる。つながり：実像（じつぞう）／焦点／虫眼鏡</x:v>
      </x:c>
      <x:c r="J148" s="18" t="str">
        <x:v>実像じつぞう&lt;／rt&gt;&lt;／ruby&gt;／焦点／虫眼鏡</x:v>
      </x:c>
    </x:row>
    <x:row r="149" ht="62" customHeight="1">
      <x:c r="A149" s="106" t="str">
        <x:v>PHY-025</x:v>
      </x:c>
      <x:c r="B149" s="106" t="str">
        <x:v>物理</x:v>
      </x:c>
      <x:c r="C149" s="106" t="str">
        <x:v>中1</x:v>
      </x:c>
      <x:c r="D149" s="106" t="str">
        <x:v>光</x:v>
      </x:c>
      <x:c r="E149" s="106" t="str">
        <x:v>読図</x:v>
      </x:c>
      <x:c r="F149" s="106" t="str">
        <x:v>B</x:v>
      </x:c>
      <x:c r="G149" s="106" t="str"/>
      <x:c r="H149" s="18" t="str">
        <x:v>物体が焦点（しょうてん）の2倍より外側</x:v>
      </x:c>
      <x:c r="I149" s="18" t="str">
        <x:v>凸レンズから物体までの距離が焦点（しょうてん）距離の2倍より大きいと、反対側の焦点の1〜2倍の位置に、倒立で縮小した実像（じつぞう）ができる。つながり：凸レンズ／実像／焦点距離</x:v>
      </x:c>
      <x:c r="J149" s="18" t="str">
        <x:v>凸レンズ／実像／焦点距離</x:v>
      </x:c>
    </x:row>
    <x:row r="150" ht="62" customHeight="1">
      <x:c r="A150" s="106" t="str">
        <x:v>PHY-026</x:v>
      </x:c>
      <x:c r="B150" s="106" t="str">
        <x:v>物理</x:v>
      </x:c>
      <x:c r="C150" s="106" t="str">
        <x:v>中1</x:v>
      </x:c>
      <x:c r="D150" s="106" t="str">
        <x:v>光</x:v>
      </x:c>
      <x:c r="E150" s="106" t="str">
        <x:v>読図</x:v>
      </x:c>
      <x:c r="F150" s="106" t="str">
        <x:v>B</x:v>
      </x:c>
      <x:c r="G150" s="106" t="str"/>
      <x:c r="H150" s="18" t="str">
        <x:v>物体が焦点（しょうてん）距離の2倍の位置</x:v>
      </x:c>
      <x:c r="I150" s="18" t="str">
        <x:v>物体を凸レンズの2Fに置くと、反対側の2Fに、物体と同じ大きさの倒立実像（じつぞう）ができる。像と物体はレンズをはさんで対称な距離になる。つながり：2F／倒立像／焦点（しょうてん）</x:v>
      </x:c>
      <x:c r="J150" s="18" t="str">
        <x:v>2F／倒立像／焦点しょうてん&lt;／rt&gt;&lt;／ruby&gt;</x:v>
      </x:c>
    </x:row>
    <x:row r="151" ht="62" customHeight="1">
      <x:c r="A151" s="106" t="str">
        <x:v>PHY-027</x:v>
      </x:c>
      <x:c r="B151" s="106" t="str">
        <x:v>物理</x:v>
      </x:c>
      <x:c r="C151" s="106" t="str">
        <x:v>中1</x:v>
      </x:c>
      <x:c r="D151" s="106" t="str">
        <x:v>光</x:v>
      </x:c>
      <x:c r="E151" s="106" t="str">
        <x:v>読図</x:v>
      </x:c>
      <x:c r="F151" s="106" t="str">
        <x:v>B</x:v>
      </x:c>
      <x:c r="G151" s="106" t="str"/>
      <x:c r="H151" s="18" t="str">
        <x:v>物体が焦点（しょうてん）と2倍焦点の間</x:v>
      </x:c>
      <x:c r="I151" s="18" t="str">
        <x:v>凸レンズのFと2Fの間に物体を置くと、反対側の2Fより遠くに、倒立で拡大した実像（じつぞう）ができる。物体をFへ近づけるほど像は遠ざかり拡大する。つながり：凸レンズ／拡大像／実像</x:v>
      </x:c>
      <x:c r="J151" s="18" t="str">
        <x:v>凸レンズ／拡大像／実像</x:v>
      </x:c>
    </x:row>
    <x:row r="152" ht="62" customHeight="1">
      <x:c r="A152" s="106" t="str">
        <x:v>PHY-028</x:v>
      </x:c>
      <x:c r="B152" s="106" t="str">
        <x:v>物理</x:v>
      </x:c>
      <x:c r="C152" s="106" t="str">
        <x:v>中1</x:v>
      </x:c>
      <x:c r="D152" s="106" t="str">
        <x:v>光</x:v>
      </x:c>
      <x:c r="E152" s="106" t="str">
        <x:v>読図</x:v>
      </x:c>
      <x:c r="F152" s="106" t="str">
        <x:v>A</x:v>
      </x:c>
      <x:c r="G152" s="106" t="str"/>
      <x:c r="H152" s="18" t="str">
        <x:v>物体が焦点（しょうてん）の内側</x:v>
      </x:c>
      <x:c r="I152" s="18" t="str">
        <x:v>物体を凸レンズと焦点（しょうてん）の間に置くと、物体と同じ側に正立で拡大した虚像（きょぞう）が見える。光は実際には集まらないのでスクリーンには映らない。つながり：虫眼鏡／虚像／焦点</x:v>
      </x:c>
      <x:c r="J152" s="18" t="str">
        <x:v>虫眼鏡／虚像／焦点</x:v>
      </x:c>
    </x:row>
    <x:row r="153" ht="62" customHeight="1">
      <x:c r="A153" s="106" t="str">
        <x:v>PHY-029</x:v>
      </x:c>
      <x:c r="B153" s="106" t="str">
        <x:v>物理</x:v>
      </x:c>
      <x:c r="C153" s="106" t="str">
        <x:v>中1</x:v>
      </x:c>
      <x:c r="D153" s="106" t="str">
        <x:v>光</x:v>
      </x:c>
      <x:c r="E153" s="106" t="str">
        <x:v>実験</x:v>
      </x:c>
      <x:c r="F153" s="106" t="str">
        <x:v>A</x:v>
      </x:c>
      <x:c r="G153" s="106" t="n">
        <x:v>37</x:v>
      </x:c>
      <x:c r="H153" s="18" t="str">
        <x:v>凸レンズの作図</x:v>
      </x:c>
      <x:c r="I153" s="18" t="str">
        <x:v>物体の先端から①光軸に平行→屈折（くっせつ）後に反対側の焦点（しょうてん）、②レンズ中心→直進、の2本を引く。交点が実像（じつぞう）の先端。虚像（きょぞう）では屈折光を物体側へ延長する。つながり：焦点／実像／虚像</x:v>
      </x:c>
      <x:c r="J153" s="18" t="str">
        <x:v>焦点／実像／虚像</x:v>
      </x:c>
    </x:row>
    <x:row r="154" ht="62" customHeight="1">
      <x:c r="A154" s="106" t="str">
        <x:v>PHY-030</x:v>
      </x:c>
      <x:c r="B154" s="106" t="str">
        <x:v>物理</x:v>
      </x:c>
      <x:c r="C154" s="106" t="str">
        <x:v>中1</x:v>
      </x:c>
      <x:c r="D154" s="106" t="str">
        <x:v>光</x:v>
      </x:c>
      <x:c r="E154" s="106" t="str">
        <x:v>実験</x:v>
      </x:c>
      <x:c r="F154" s="106" t="str">
        <x:v>B</x:v>
      </x:c>
      <x:c r="G154" s="106" t="str"/>
      <x:c r="H154" s="18" t="str">
        <x:v>スクリーンに像が映らないとき</x:v>
      </x:c>
      <x:c r="I154" s="18" t="str">
        <x:v>物体が焦点（しょうてん）の内側、スクリーン位置が像の位置と不一致、またはレンズ・物体・スクリーンの中心が一直線でない可能性がある。虚像（きょぞう）はスクリーンを動かしても映らない。つながり：実像（じつぞう）／虚像／焦点</x:v>
      </x:c>
      <x:c r="J154" s="18" t="str">
        <x:v>実像じつぞう&lt;／rt&gt;&lt;／ruby&gt;／虚像／焦点</x:v>
      </x:c>
    </x:row>
    <x:row r="155" ht="62" customHeight="1">
      <x:c r="A155" s="106" t="str">
        <x:v>PHY-032</x:v>
      </x:c>
      <x:c r="B155" s="106" t="str">
        <x:v>物理</x:v>
      </x:c>
      <x:c r="C155" s="106" t="str">
        <x:v>中1</x:v>
      </x:c>
      <x:c r="D155" s="106" t="str">
        <x:v>音</x:v>
      </x:c>
      <x:c r="E155" s="106" t="str">
        <x:v>誤解対策</x:v>
      </x:c>
      <x:c r="F155" s="106" t="str">
        <x:v>A</x:v>
      </x:c>
      <x:c r="G155" s="106" t="str"/>
      <x:c r="H155" s="18" t="str">
        <x:v>音を伝える物質</x:v>
      </x:c>
      <x:c r="I155" s="18" t="str">
        <x:v>音は空気・水・固体などの物質の振動として伝わる。真空には振動を受け渡す粒子がないので音は伝わらない。光は真空中も進むため混同しない。つながり：振動／真空／光</x:v>
      </x:c>
      <x:c r="J155" s="18" t="str">
        <x:v>振動／真空／光</x:v>
      </x:c>
    </x:row>
    <x:row r="156" ht="62" customHeight="1">
      <x:c r="A156" s="106" t="str">
        <x:v>PHY-033</x:v>
      </x:c>
      <x:c r="B156" s="106" t="str">
        <x:v>物理</x:v>
      </x:c>
      <x:c r="C156" s="106" t="str">
        <x:v>中1</x:v>
      </x:c>
      <x:c r="D156" s="106" t="str">
        <x:v>音</x:v>
      </x:c>
      <x:c r="E156" s="106" t="str">
        <x:v>比較</x:v>
      </x:c>
      <x:c r="F156" s="106" t="str">
        <x:v>A</x:v>
      </x:c>
      <x:c r="G156" s="106" t="n">
        <x:v>38</x:v>
      </x:c>
      <x:c r="H156" s="18" t="str">
        <x:v>音の大きさと振幅（しんぷく）</x:v>
      </x:c>
      <x:c r="I156" s="18" t="str">
        <x:v>振動の中心からの最大のずれを振幅（しんぷく）という。振幅が大きいほど音は大きい。波形では上下の幅に注目し、横方向の間隔である振動数（しんどうすう）とは区別する。つながり：振幅／波形／音の高さ</x:v>
      </x:c>
      <x:c r="J156" s="18" t="str">
        <x:v>振幅／波形／音の高さ</x:v>
      </x:c>
    </x:row>
    <x:row r="157" ht="62" customHeight="1">
      <x:c r="A157" s="106" t="str">
        <x:v>PHY-034</x:v>
      </x:c>
      <x:c r="B157" s="106" t="str">
        <x:v>物理</x:v>
      </x:c>
      <x:c r="C157" s="106" t="str">
        <x:v>中1</x:v>
      </x:c>
      <x:c r="D157" s="106" t="str">
        <x:v>音</x:v>
      </x:c>
      <x:c r="E157" s="106" t="str">
        <x:v>用語</x:v>
      </x:c>
      <x:c r="F157" s="106" t="str">
        <x:v>A</x:v>
      </x:c>
      <x:c r="G157" s="106" t="n">
        <x:v>53</x:v>
      </x:c>
      <x:c r="H157" s="18" t="str">
        <x:v>音の高さと振動数（しんどうすう）</x:v>
      </x:c>
      <x:c r="I157" s="18" t="str">
        <x:v>1秒間の振動回数を振動数（しんどうすう）といい、単位はHz。振動数が多いほど高い音、少ないほど低い音になる。同じ時間幅の波形なら、波の個数が多いほど高い。つながり：Hz／周期／波形</x:v>
      </x:c>
      <x:c r="J157" s="18" t="str">
        <x:v>Hz／周期／波形</x:v>
      </x:c>
    </x:row>
    <x:row r="158" ht="62" customHeight="1">
      <x:c r="A158" s="106" t="str">
        <x:v>PHY-035</x:v>
      </x:c>
      <x:c r="B158" s="106" t="str">
        <x:v>物理</x:v>
      </x:c>
      <x:c r="C158" s="106" t="str">
        <x:v>中1</x:v>
      </x:c>
      <x:c r="D158" s="106" t="str">
        <x:v>音</x:v>
      </x:c>
      <x:c r="E158" s="106" t="str">
        <x:v>読図</x:v>
      </x:c>
      <x:c r="F158" s="106" t="str">
        <x:v>A</x:v>
      </x:c>
      <x:c r="G158" s="106" t="str"/>
      <x:c r="H158" s="18" t="str">
        <x:v>波形の読み取り</x:v>
      </x:c>
      <x:c r="I158" s="18" t="str">
        <x:v>縦方向の振れは振幅（しんぷく）＝音の大きさ、同じ横幅に入る波の数は振動数（しんどうすう）＝音の高さを表す。表示の縦・横の尺度が違う波形は、見た目だけで比べない。つながり：振幅／振動数／オシロスコープ</x:v>
      </x:c>
      <x:c r="J158" s="18" t="str">
        <x:v>振幅／振動数／オシロスコープ</x:v>
      </x:c>
    </x:row>
    <x:row r="159" ht="62" customHeight="1">
      <x:c r="A159" s="106" t="str">
        <x:v>PHY-036</x:v>
      </x:c>
      <x:c r="B159" s="106" t="str">
        <x:v>物理</x:v>
      </x:c>
      <x:c r="C159" s="106" t="str">
        <x:v>中1</x:v>
      </x:c>
      <x:c r="D159" s="106" t="str">
        <x:v>音</x:v>
      </x:c>
      <x:c r="E159" s="106" t="str">
        <x:v>計算</x:v>
      </x:c>
      <x:c r="F159" s="106" t="str">
        <x:v>B</x:v>
      </x:c>
      <x:c r="G159" s="106" t="str"/>
      <x:c r="H159" s="18" t="str">
        <x:v>周期（振動）</x:v>
      </x:c>
      <x:c r="I159" s="18" t="str">
        <x:v>1回の振動にかかる時間。振動数（しんどうすう）をf Hz、周期をT秒とするとT＝1/f。例えば50 Hzなら周期は1/50秒＝0.02秒。つながり：振動数／Hz／波形</x:v>
      </x:c>
      <x:c r="J159" s="18" t="str">
        <x:v>振動数／Hz／波形</x:v>
      </x:c>
    </x:row>
    <x:row r="160" ht="62" customHeight="1">
      <x:c r="A160" s="106" t="str">
        <x:v>PHY-037</x:v>
      </x:c>
      <x:c r="B160" s="106" t="str">
        <x:v>物理</x:v>
      </x:c>
      <x:c r="C160" s="106" t="str">
        <x:v>中1</x:v>
      </x:c>
      <x:c r="D160" s="106" t="str">
        <x:v>音</x:v>
      </x:c>
      <x:c r="E160" s="106" t="str">
        <x:v>計算</x:v>
      </x:c>
      <x:c r="F160" s="106" t="str">
        <x:v>A</x:v>
      </x:c>
      <x:c r="G160" s="106" t="str"/>
      <x:c r="H160" s="18" t="str">
        <x:v>音の速さ</x:v>
      </x:c>
      <x:c r="I160" s="18" t="str">
        <x:v>空気中の音速は常温で約340 m/s。光よりはるかに遅いため、雷は光ってから音が届く。距離＝速さ×時間で計算し、温度などで音速は少し変わる。つながり：速さ／雷／反射（はんしゃ）音</x:v>
      </x:c>
      <x:c r="J160" s="18" t="str">
        <x:v>速さ／雷／反射はんしゃ&lt;／rt&gt;&lt;／ruby&gt;音</x:v>
      </x:c>
    </x:row>
    <x:row r="161" ht="62" customHeight="1">
      <x:c r="A161" s="106" t="str">
        <x:v>PHY-038</x:v>
      </x:c>
      <x:c r="B161" s="106" t="str">
        <x:v>物理</x:v>
      </x:c>
      <x:c r="C161" s="106" t="str">
        <x:v>中1</x:v>
      </x:c>
      <x:c r="D161" s="106" t="str">
        <x:v>音</x:v>
      </x:c>
      <x:c r="E161" s="106" t="str">
        <x:v>計算</x:v>
      </x:c>
      <x:c r="F161" s="106" t="str">
        <x:v>A</x:v>
      </x:c>
      <x:c r="G161" s="106" t="str"/>
      <x:c r="H161" s="18" t="str">
        <x:v>反射（はんしゃ）音で距離を求める</x:v>
      </x:c>
      <x:c r="I161" s="18" t="str">
        <x:v>音を出してから反射（はんしゃ）音が戻るまでに、音は目的物までを往復する。距離＝音速×往復時間÷2。÷2を忘れない。つながり：音速／反射／距離</x:v>
      </x:c>
      <x:c r="J161" s="18" t="str">
        <x:v>音速／反射／距離</x:v>
      </x:c>
    </x:row>
    <x:row r="162" ht="62" customHeight="1">
      <x:c r="A162" s="106" t="str">
        <x:v>PHY-039</x:v>
      </x:c>
      <x:c r="B162" s="106" t="str">
        <x:v>物理</x:v>
      </x:c>
      <x:c r="C162" s="106" t="str">
        <x:v>中1</x:v>
      </x:c>
      <x:c r="D162" s="106" t="str">
        <x:v>音</x:v>
      </x:c>
      <x:c r="E162" s="106" t="str">
        <x:v>因果</x:v>
      </x:c>
      <x:c r="F162" s="106" t="str">
        <x:v>B</x:v>
      </x:c>
      <x:c r="G162" s="106" t="str"/>
      <x:c r="H162" s="18" t="str">
        <x:v>弦の音を高くする方法</x:v>
      </x:c>
      <x:c r="I162" s="18" t="str">
        <x:v>弦を短くする、細くする、強く張ると振動数（しんどうすう）が大きくなり音が高くなる。強くはじくことは主に振幅（しんぷく）を大きくし、音を大きくする操作である。つながり：振動数／振幅／音の高さ</x:v>
      </x:c>
      <x:c r="J162" s="18" t="str">
        <x:v>振動数／振幅／音の高さ</x:v>
      </x:c>
    </x:row>
    <x:row r="163" ht="62" customHeight="1">
      <x:c r="A163" s="106" t="str">
        <x:v>PHY-040</x:v>
      </x:c>
      <x:c r="B163" s="106" t="str">
        <x:v>物理</x:v>
      </x:c>
      <x:c r="C163" s="106" t="str">
        <x:v>中1</x:v>
      </x:c>
      <x:c r="D163" s="106" t="str">
        <x:v>音</x:v>
      </x:c>
      <x:c r="E163" s="106" t="str">
        <x:v>実験</x:v>
      </x:c>
      <x:c r="F163" s="106" t="str">
        <x:v>B</x:v>
      </x:c>
      <x:c r="G163" s="106" t="str"/>
      <x:c r="H163" s="18" t="str">
        <x:v>真空容器のブザー実験</x:v>
      </x:c>
      <x:c r="I163" s="18" t="str">
        <x:v>容器内の空気を抜くほどブザー音は小さくなるが、ブザーの振動自体は見える。音を伝える空気が減るためで、電気が弱くなったからではない。完全な真空でなければ音は残る。つながり：真空／媒質／振動</x:v>
      </x:c>
      <x:c r="J163" s="18" t="str">
        <x:v>真空／媒質／振動</x:v>
      </x:c>
    </x:row>
    <x:row r="164" ht="62" customHeight="1">
      <x:c r="A164" s="106" t="str">
        <x:v>PHY-065</x:v>
      </x:c>
      <x:c r="B164" s="106" t="str">
        <x:v>物理</x:v>
      </x:c>
      <x:c r="C164" s="106" t="str">
        <x:v>中1</x:v>
      </x:c>
      <x:c r="D164" s="106" t="str">
        <x:v>力</x:v>
      </x:c>
      <x:c r="E164" s="106" t="str">
        <x:v>用語</x:v>
      </x:c>
      <x:c r="F164" s="106" t="str">
        <x:v>A</x:v>
      </x:c>
      <x:c r="G164" s="106" t="str"/>
      <x:c r="H164" s="18" t="str">
        <x:v>力の三つのはたらき</x:v>
      </x:c>
      <x:c r="I164" s="18" t="str">
        <x:v>力には①物体の形を変える、②速さを変える、③運動の向きを変える、というはたらきがある。物体を支えて静止させる場合も、力ははたらいている。つながり：変形／運動／つり合い</x:v>
      </x:c>
      <x:c r="J164" s="18" t="str">
        <x:v>変形／運動／つり合い</x:v>
      </x:c>
    </x:row>
    <x:row r="165" ht="62" customHeight="1">
      <x:c r="A165" s="106" t="str">
        <x:v>PHY-066</x:v>
      </x:c>
      <x:c r="B165" s="106" t="str">
        <x:v>物理</x:v>
      </x:c>
      <x:c r="C165" s="106" t="str">
        <x:v>中1</x:v>
      </x:c>
      <x:c r="D165" s="106" t="str">
        <x:v>力</x:v>
      </x:c>
      <x:c r="E165" s="106" t="str">
        <x:v>用語</x:v>
      </x:c>
      <x:c r="F165" s="106" t="str">
        <x:v>A</x:v>
      </x:c>
      <x:c r="G165" s="106" t="n">
        <x:v>54</x:v>
      </x:c>
      <x:c r="H165" s="18" t="str">
        <x:v>力の三要素</x:v>
      </x:c>
      <x:c r="I165" s="18" t="str">
        <x:v>力は大きさ・向き・作用点（さようてん）の三要素で表す。図では作用点から力の向きへ矢印を引き、長さで大きさを表す。矢印の尺度をそろえる。つながり：力の矢印／作用点／合力</x:v>
      </x:c>
      <x:c r="J165" s="18" t="str">
        <x:v>力の矢印／作用点／合力</x:v>
      </x:c>
    </x:row>
    <x:row r="166" ht="62" customHeight="1">
      <x:c r="A166" s="106" t="str">
        <x:v>PHY-067</x:v>
      </x:c>
      <x:c r="B166" s="106" t="str">
        <x:v>物理</x:v>
      </x:c>
      <x:c r="C166" s="106" t="str">
        <x:v>中1</x:v>
      </x:c>
      <x:c r="D166" s="106" t="str">
        <x:v>力</x:v>
      </x:c>
      <x:c r="E166" s="106" t="str">
        <x:v>用語</x:v>
      </x:c>
      <x:c r="F166" s="106" t="str">
        <x:v>A</x:v>
      </x:c>
      <x:c r="G166" s="106" t="str"/>
      <x:c r="H166" s="18" t="str">
        <x:v>重力</x:v>
      </x:c>
      <x:c r="I166" s="18" t="str">
        <x:v>地球が物体を地球の中心方向へ引く力。物体の重心に、鉛直下向きにはたらくと考える。質量100 gの物体には地表付近で約1 Nの重力がはたらく。つながり：重さ／質量／重心</x:v>
      </x:c>
      <x:c r="J166" s="18" t="str">
        <x:v>重さ／質量／重心</x:v>
      </x:c>
    </x:row>
    <x:row r="167" ht="62" customHeight="1">
      <x:c r="A167" s="106" t="str">
        <x:v>PHY-068</x:v>
      </x:c>
      <x:c r="B167" s="106" t="str">
        <x:v>物理</x:v>
      </x:c>
      <x:c r="C167" s="106" t="str">
        <x:v>中1</x:v>
      </x:c>
      <x:c r="D167" s="106" t="str">
        <x:v>力</x:v>
      </x:c>
      <x:c r="E167" s="106" t="str">
        <x:v>用語</x:v>
      </x:c>
      <x:c r="F167" s="106" t="str">
        <x:v>A</x:v>
      </x:c>
      <x:c r="G167" s="106" t="str"/>
      <x:c r="H167" s="18" t="str">
        <x:v>弾性力</x:v>
      </x:c>
      <x:c r="I167" s="18" t="str">
        <x:v>変形した物体が元の形に戻ろうとして及ぼす力。ばねを伸ばせば縮む向き、縮めれば伸びる向きにはたらく。一定範囲では変形量と力が比例する。つながり：フックの法則／ばね／復元力</x:v>
      </x:c>
      <x:c r="J167" s="18" t="str">
        <x:v>フックの法則／ばね／復元力</x:v>
      </x:c>
    </x:row>
    <x:row r="168" ht="62" customHeight="1">
      <x:c r="A168" s="106" t="str">
        <x:v>PHY-069</x:v>
      </x:c>
      <x:c r="B168" s="106" t="str">
        <x:v>物理</x:v>
      </x:c>
      <x:c r="C168" s="106" t="str">
        <x:v>中1</x:v>
      </x:c>
      <x:c r="D168" s="106" t="str">
        <x:v>力</x:v>
      </x:c>
      <x:c r="E168" s="106" t="str">
        <x:v>誤解対策</x:v>
      </x:c>
      <x:c r="F168" s="106" t="str">
        <x:v>A</x:v>
      </x:c>
      <x:c r="G168" s="106" t="str"/>
      <x:c r="H168" s="18" t="str">
        <x:v>摩擦力</x:v>
      </x:c>
      <x:c r="I168" s="18" t="str">
        <x:v>接触面で物体の相対的な動き、または動こうとする向きを妨げる力。必ず「進行方向と逆」とは限らず、歩くとき地面から足には前向きの摩擦力がはたらく。つながり：接触力／運動／仕事</x:v>
      </x:c>
      <x:c r="J168" s="18" t="str">
        <x:v>接触力／運動／仕事</x:v>
      </x:c>
    </x:row>
    <x:row r="169" ht="62" customHeight="1">
      <x:c r="A169" s="106" t="str">
        <x:v>PHY-070</x:v>
      </x:c>
      <x:c r="B169" s="106" t="str">
        <x:v>物理</x:v>
      </x:c>
      <x:c r="C169" s="106" t="str">
        <x:v>中1</x:v>
      </x:c>
      <x:c r="D169" s="106" t="str">
        <x:v>力</x:v>
      </x:c>
      <x:c r="E169" s="106" t="str">
        <x:v>誤解対策</x:v>
      </x:c>
      <x:c r="F169" s="106" t="str">
        <x:v>B</x:v>
      </x:c>
      <x:c r="G169" s="106" t="str"/>
      <x:c r="H169" s="18" t="str">
        <x:v>垂直抗力（すいちょくこうりょく）</x:v>
      </x:c>
      <x:c r="I169" s="18" t="str">
        <x:v>物体が面を押すとき、面から物体へ垂直に受ける力。水平面上で鉛直方向に他の力がなければ重力とつり合うが、斜面や外力があると大きさは重力と同じとは限らない。つながり：作用反作用／重力／摩擦力</x:v>
      </x:c>
      <x:c r="J169" s="18" t="str">
        <x:v>作用反作用／重力／摩擦力</x:v>
      </x:c>
    </x:row>
    <x:row r="170" ht="62" customHeight="1">
      <x:c r="A170" s="106" t="str">
        <x:v>PHY-071</x:v>
      </x:c>
      <x:c r="B170" s="106" t="str">
        <x:v>物理</x:v>
      </x:c>
      <x:c r="C170" s="106" t="str">
        <x:v>中1</x:v>
      </x:c>
      <x:c r="D170" s="106" t="str">
        <x:v>力</x:v>
      </x:c>
      <x:c r="E170" s="106" t="str">
        <x:v>用語</x:v>
      </x:c>
      <x:c r="F170" s="106" t="str">
        <x:v>A</x:v>
      </x:c>
      <x:c r="G170" s="106" t="n">
        <x:v>55</x:v>
      </x:c>
      <x:c r="H170" s="18" t="str">
        <x:v>力のつり合い</x:v>
      </x:c>
      <x:c r="I170" s="18" t="str">
        <x:v>1つの物体にはたらく2力がつり合う条件は、同一直線上にあり、大きさが等しく、向きが反対。物体は静止または等速直線運動を続ける。つながり：合力／慣性（かんせい）／作用反作用</x:v>
      </x:c>
      <x:c r="J170" s="18" t="str">
        <x:v>合力／慣性かんせい&lt;／rt&gt;&lt;／ruby&gt;／作用反作用</x:v>
      </x:c>
    </x:row>
    <x:row r="171" ht="62" customHeight="1">
      <x:c r="A171" s="106" t="str">
        <x:v>PHY-078</x:v>
      </x:c>
      <x:c r="B171" s="106" t="str">
        <x:v>物理</x:v>
      </x:c>
      <x:c r="C171" s="106" t="str">
        <x:v>中1</x:v>
      </x:c>
      <x:c r="D171" s="106" t="str">
        <x:v>力</x:v>
      </x:c>
      <x:c r="E171" s="106" t="str">
        <x:v>用語</x:v>
      </x:c>
      <x:c r="F171" s="106" t="str">
        <x:v>B</x:v>
      </x:c>
      <x:c r="G171" s="106" t="str"/>
      <x:c r="H171" s="18" t="str">
        <x:v>重心</x:v>
      </x:c>
      <x:c r="I171" s="18" t="str">
        <x:v>物体全体の重さが集中してはたらくと考えられる点。重心から下ろした鉛直線が支持面の内側にあれば倒れにくい。重心が低く、支持面が広いほど安定する。つながり：重力／安定性／支持面</x:v>
      </x:c>
      <x:c r="J171" s="18" t="str">
        <x:v>重力／安定性／支持面</x:v>
      </x:c>
    </x:row>
    <x:row r="172" ht="62" customHeight="1">
      <x:c r="A172" s="106" t="str">
        <x:v>PHY-082</x:v>
      </x:c>
      <x:c r="B172" s="106" t="str">
        <x:v>物理</x:v>
      </x:c>
      <x:c r="C172" s="106" t="str">
        <x:v>中1</x:v>
      </x:c>
      <x:c r="D172" s="106" t="str">
        <x:v>力</x:v>
      </x:c>
      <x:c r="E172" s="106" t="str">
        <x:v>計算</x:v>
      </x:c>
      <x:c r="F172" s="106" t="str">
        <x:v>A</x:v>
      </x:c>
      <x:c r="G172" s="106" t="str"/>
      <x:c r="H172" s="18" t="str">
        <x:v>力の単位ニュートン</x:v>
      </x:c>
      <x:c r="I172" s="18" t="str">
        <x:v>力の単位はN（ニュートン）。地表付近では質量100 gの物体にはたらく重力を約1 Nとするため、1 kgなら約10 N。質量の単位g・kgと混同しない。つながり：重力／質量／ばねばかり</x:v>
      </x:c>
      <x:c r="J172" s="18" t="str">
        <x:v>重力／質量／ばねばかり</x:v>
      </x:c>
    </x:row>
    <x:row r="173" ht="62" customHeight="1">
      <x:c r="A173" s="106" t="str">
        <x:v>PHY-083</x:v>
      </x:c>
      <x:c r="B173" s="106" t="str">
        <x:v>物理</x:v>
      </x:c>
      <x:c r="C173" s="106" t="str">
        <x:v>中1</x:v>
      </x:c>
      <x:c r="D173" s="106" t="str">
        <x:v>力</x:v>
      </x:c>
      <x:c r="E173" s="106" t="str">
        <x:v>比較</x:v>
      </x:c>
      <x:c r="F173" s="106" t="str">
        <x:v>A</x:v>
      </x:c>
      <x:c r="G173" s="106" t="n">
        <x:v>56</x:v>
      </x:c>
      <x:c r="H173" s="18" t="str">
        <x:v>質量と重さ</x:v>
      </x:c>
      <x:c r="I173" s="18" t="str">
        <x:v>質量は物体そのものの量で場所によらず一定、単位はg・kg。重さは重力の大きさで場所により変わり、単位はN。月面では質量は同じだが重さは地球上の約1/6。つながり：重力／ニュートン／月</x:v>
      </x:c>
      <x:c r="J173" s="18" t="str">
        <x:v>重力／ニュートン／月</x:v>
      </x:c>
    </x:row>
    <x:row r="174" ht="62" customHeight="1">
      <x:c r="A174" s="106" t="str">
        <x:v>PHY-084</x:v>
      </x:c>
      <x:c r="B174" s="106" t="str">
        <x:v>物理</x:v>
      </x:c>
      <x:c r="C174" s="106" t="str">
        <x:v>中1</x:v>
      </x:c>
      <x:c r="D174" s="106" t="str">
        <x:v>力</x:v>
      </x:c>
      <x:c r="E174" s="106" t="str">
        <x:v>実験</x:v>
      </x:c>
      <x:c r="F174" s="106" t="str">
        <x:v>A</x:v>
      </x:c>
      <x:c r="G174" s="106" t="str"/>
      <x:c r="H174" s="18" t="str">
        <x:v>ばねばかり</x:v>
      </x:c>
      <x:c r="I174" s="18" t="str">
        <x:v>ばねの伸びを利用して力の大きさをNで測る器具。使う前に0点を合わせ、最大目盛りを超えないようにし、力の向きとばねの向きをそろえて読む。つながり：弾性力／フックの法則／ニュートン</x:v>
      </x:c>
      <x:c r="J174" s="18" t="str">
        <x:v>弾性力／フックの法則／ニュートン</x:v>
      </x:c>
    </x:row>
    <x:row r="175" ht="62" customHeight="1">
      <x:c r="A175" s="106" t="str">
        <x:v>PHY-085</x:v>
      </x:c>
      <x:c r="B175" s="106" t="str">
        <x:v>物理</x:v>
      </x:c>
      <x:c r="C175" s="106" t="str">
        <x:v>中1</x:v>
      </x:c>
      <x:c r="D175" s="106" t="str">
        <x:v>力</x:v>
      </x:c>
      <x:c r="E175" s="106" t="str">
        <x:v>読図</x:v>
      </x:c>
      <x:c r="F175" s="106" t="str">
        <x:v>A</x:v>
      </x:c>
      <x:c r="G175" s="106" t="str"/>
      <x:c r="H175" s="18" t="str">
        <x:v>フックの法則</x:v>
      </x:c>
      <x:c r="I175" s="18" t="str">
        <x:v>ばねの弾性の限界内では、ばねの伸びは加えた力に比例する。グラフは原点を通る直線。ばね全体の長さではなく、自然長から増えた「伸び」を使う。つながり：弾性力／比例／ばね定数</x:v>
      </x:c>
      <x:c r="J175" s="18" t="str">
        <x:v>弾性力／比例／ばね定数</x:v>
      </x:c>
    </x:row>
    <x:row r="176" ht="62" customHeight="1">
      <x:c r="A176" s="106" t="str">
        <x:v>PHY-086</x:v>
      </x:c>
      <x:c r="B176" s="106" t="str">
        <x:v>物理</x:v>
      </x:c>
      <x:c r="C176" s="106" t="str">
        <x:v>中1</x:v>
      </x:c>
      <x:c r="D176" s="106" t="str">
        <x:v>力</x:v>
      </x:c>
      <x:c r="E176" s="106" t="str">
        <x:v>計算</x:v>
      </x:c>
      <x:c r="F176" s="106" t="str">
        <x:v>A</x:v>
      </x:c>
      <x:c r="G176" s="106" t="str"/>
      <x:c r="H176" s="18" t="str">
        <x:v>ばねの伸びの計算</x:v>
      </x:c>
      <x:c r="I176" s="18" t="str">
        <x:v>あるばねが2 Nで3 cm伸びるなら、比例範囲で4 Nでは6 cm伸びる。全長を問われたら自然長＋伸び。複数のおもりでは合計質量をNへ直す。つながり：フックの法則／比例／重力</x:v>
      </x:c>
      <x:c r="J176" s="18" t="str">
        <x:v>フックの法則／比例／重力</x:v>
      </x:c>
    </x:row>
    <x:row r="177" ht="62" customHeight="1">
      <x:c r="A177" s="106" t="str">
        <x:v>PHY-087</x:v>
      </x:c>
      <x:c r="B177" s="106" t="str">
        <x:v>物理</x:v>
      </x:c>
      <x:c r="C177" s="106" t="str">
        <x:v>中1</x:v>
      </x:c>
      <x:c r="D177" s="106" t="str">
        <x:v>圧力</x:v>
      </x:c>
      <x:c r="E177" s="106" t="str">
        <x:v>用語</x:v>
      </x:c>
      <x:c r="F177" s="106" t="str">
        <x:v>A</x:v>
      </x:c>
      <x:c r="G177" s="106" t="n">
        <x:v>57</x:v>
      </x:c>
      <x:c r="H177" s="18" t="str">
        <x:v>圧力</x:v>
      </x:c>
      <x:c r="I177" s="18" t="str">
        <x:v>面を垂直に押す力が単位面積あたりどれほど集中しているかを表す。圧力Pa＝力N÷面積m²。同じ力なら面積が小さいほど圧力は大きい。つながり：パスカル／面積／垂直抗力</x:v>
      </x:c>
      <x:c r="J177" s="18" t="str">
        <x:v>パスカル／面積／垂直抗力</x:v>
      </x:c>
    </x:row>
    <x:row r="178" ht="62" customHeight="1">
      <x:c r="A178" s="106" t="str">
        <x:v>PHY-088</x:v>
      </x:c>
      <x:c r="B178" s="106" t="str">
        <x:v>物理</x:v>
      </x:c>
      <x:c r="C178" s="106" t="str">
        <x:v>中1</x:v>
      </x:c>
      <x:c r="D178" s="106" t="str">
        <x:v>圧力</x:v>
      </x:c>
      <x:c r="E178" s="106" t="str">
        <x:v>計算</x:v>
      </x:c>
      <x:c r="F178" s="106" t="str">
        <x:v>A</x:v>
      </x:c>
      <x:c r="G178" s="106" t="str"/>
      <x:c r="H178" s="18" t="str">
        <x:v>パスカル</x:v>
      </x:c>
      <x:c r="I178" s="18" t="str">
        <x:v>圧力の単位Pa。1 Pa＝1 N/m²、1 hPa＝100 Pa。面積をcm²で与えられたらm²へ直し、1 cm²＝0.0001 m²を使う。つながり：圧力／面積換算／気圧</x:v>
      </x:c>
      <x:c r="J178" s="18" t="str">
        <x:v>圧力／面積換算／気圧</x:v>
      </x:c>
    </x:row>
    <x:row r="179" ht="62" customHeight="1">
      <x:c r="A179" s="106" t="str">
        <x:v>PHY-089</x:v>
      </x:c>
      <x:c r="B179" s="106" t="str">
        <x:v>物理</x:v>
      </x:c>
      <x:c r="C179" s="106" t="str">
        <x:v>中1</x:v>
      </x:c>
      <x:c r="D179" s="106" t="str">
        <x:v>圧力</x:v>
      </x:c>
      <x:c r="E179" s="106" t="str">
        <x:v>誤解対策</x:v>
      </x:c>
      <x:c r="F179" s="106" t="str">
        <x:v>A</x:v>
      </x:c>
      <x:c r="G179" s="106" t="str"/>
      <x:c r="H179" s="18" t="str">
        <x:v>接地面積と圧力</x:v>
      </x:c>
      <x:c r="I179" s="18" t="str">
        <x:v>同じ物体なら面を変えて置いても重さは同じだが、接地面積が小さいほど圧力は大きい。面積が半分なら圧力は2倍。力自体が大きくなるわけではない。つながり：圧力／反比例／重力</x:v>
      </x:c>
      <x:c r="J179" s="18" t="str">
        <x:v>圧力／反比例／重力</x:v>
      </x:c>
    </x:row>
    <x:row r="180" ht="62" customHeight="1">
      <x:c r="A180" s="106" t="str">
        <x:v>PHY-090</x:v>
      </x:c>
      <x:c r="B180" s="106" t="str">
        <x:v>物理</x:v>
      </x:c>
      <x:c r="C180" s="106" t="str">
        <x:v>中1</x:v>
      </x:c>
      <x:c r="D180" s="106" t="str">
        <x:v>圧力</x:v>
      </x:c>
      <x:c r="E180" s="106" t="str">
        <x:v>因果</x:v>
      </x:c>
      <x:c r="F180" s="106" t="str">
        <x:v>A</x:v>
      </x:c>
      <x:c r="G180" s="106" t="str"/>
      <x:c r="H180" s="18" t="str">
        <x:v>大気圧で吸盤やストローが働く理由</x:v>
      </x:c>
      <x:c r="I180" s="18" t="str">
        <x:v>内側の圧力を下げると、外側の大気圧のほうが大きくなり、その圧力差で吸盤は壁へ押し付けられ、飲み物はストロー内を上がる。大気圧は大気の重さによりあらゆる向きにはたらき、海面付近で約1013 hPa。つながり：気圧／真空／圧力差</x:v>
      </x:c>
      <x:c r="J180" s="18" t="str">
        <x:v>気圧／真空／圧力差</x:v>
      </x:c>
    </x:row>
    <x:row r="181" ht="62" customHeight="1">
      <x:c r="A181" s="106" t="str">
        <x:v>PHY-091</x:v>
      </x:c>
      <x:c r="B181" s="106" t="str">
        <x:v>物理</x:v>
      </x:c>
      <x:c r="C181" s="106" t="str">
        <x:v>中1</x:v>
      </x:c>
      <x:c r="D181" s="106" t="str">
        <x:v>圧力</x:v>
      </x:c>
      <x:c r="E181" s="106" t="str">
        <x:v>用語</x:v>
      </x:c>
      <x:c r="F181" s="106" t="str">
        <x:v>A</x:v>
      </x:c>
      <x:c r="G181" s="106" t="str"/>
      <x:c r="H181" s="18" t="str">
        <x:v>水圧</x:v>
      </x:c>
      <x:c r="I181" s="18" t="str">
        <x:v>水の重さによる圧力で、水面から深いほど大きい。同じ深さなら容器の形や向きによらずほぼ同じで、物体にはあらゆる向きからはたらく。つながり：深さ／圧力／浮力（ふりょく）</x:v>
      </x:c>
      <x:c r="J181" s="18" t="str">
        <x:v>深さ／圧力／浮力ふりょく&lt;／rt&gt;&lt;／ruby&gt;</x:v>
      </x:c>
    </x:row>
    <x:row r="182" ht="62" customHeight="1">
      <x:c r="A182" s="106" t="str">
        <x:v>PHY-092</x:v>
      </x:c>
      <x:c r="B182" s="106" t="str">
        <x:v>物理</x:v>
      </x:c>
      <x:c r="C182" s="106" t="str">
        <x:v>中1</x:v>
      </x:c>
      <x:c r="D182" s="106" t="str">
        <x:v>圧力</x:v>
      </x:c>
      <x:c r="E182" s="106" t="str">
        <x:v>用語</x:v>
      </x:c>
      <x:c r="F182" s="106" t="str">
        <x:v>A</x:v>
      </x:c>
      <x:c r="G182" s="106" t="str"/>
      <x:c r="H182" s="18" t="str">
        <x:v>浮力（ふりょく）</x:v>
      </x:c>
      <x:c r="I182" s="18" t="str">
        <x:v>液体や気体中の物体が流体から受ける上向きの力。物体の下面の圧力が上面より大きいため生じる。水中でばねばかりの値が減る量が浮力（ふりょく）に等しい。つながり：水圧／見かけの重さ／密度</x:v>
      </x:c>
      <x:c r="J182" s="18" t="str">
        <x:v>水圧／見かけの重さ／密度</x:v>
      </x:c>
    </x:row>
    <x:row r="183" ht="62" customHeight="1">
      <x:c r="A183" s="106" t="str">
        <x:v>PHY-093</x:v>
      </x:c>
      <x:c r="B183" s="106" t="str">
        <x:v>物理</x:v>
      </x:c>
      <x:c r="C183" s="106" t="str">
        <x:v>中1</x:v>
      </x:c>
      <x:c r="D183" s="106" t="str">
        <x:v>圧力</x:v>
      </x:c>
      <x:c r="E183" s="106" t="str">
        <x:v>誤解対策</x:v>
      </x:c>
      <x:c r="F183" s="106" t="str">
        <x:v>A</x:v>
      </x:c>
      <x:c r="G183" s="106" t="str"/>
      <x:c r="H183" s="18" t="str">
        <x:v>浮力（ふりょく）を決める量</x:v>
      </x:c>
      <x:c r="I183" s="18" t="str">
        <x:v>同じ液体では、浮力（ふりょく）は押しのけた液体の体積が大きいほど大きい。完全に水中へ沈めた同じ物体なら、深さを変えても浮力はほぼ変わらない。液体の密度も影響する。つながり：排除体積／密度／アルキメデスの原理</x:v>
      </x:c>
      <x:c r="J183" s="18" t="str">
        <x:v>排除体積／密度／アルキメデスの原理</x:v>
      </x:c>
    </x:row>
    <x:row r="184" ht="62" customHeight="1">
      <x:c r="A184" s="106" t="str">
        <x:v>PHY-095</x:v>
      </x:c>
      <x:c r="B184" s="106" t="str">
        <x:v>物理</x:v>
      </x:c>
      <x:c r="C184" s="106" t="str">
        <x:v>中1</x:v>
      </x:c>
      <x:c r="D184" s="106" t="str">
        <x:v>圧力</x:v>
      </x:c>
      <x:c r="E184" s="106" t="str">
        <x:v>比較</x:v>
      </x:c>
      <x:c r="F184" s="106" t="str">
        <x:v>A</x:v>
      </x:c>
      <x:c r="G184" s="106" t="str"/>
      <x:c r="H184" s="18" t="str">
        <x:v>浮く・沈むの条件</x:v>
      </x:c>
      <x:c r="I184" s="18" t="str">
        <x:v>物体の平均密度が液体より小さければ浮き、大きければ沈む。等しければ、流れや他の力がない条件で液体中にとどまる。浮いて静止するときは浮力（ふりょく）＝重力。鉄の船は空気を含む平均密度を小さくしている。つながり：密度／浮力／重力</x:v>
      </x:c>
      <x:c r="J184" s="18" t="str">
        <x:v>密度／浮力／重力</x:v>
      </x:c>
    </x:row>
    <x:row r="185" ht="62" customHeight="1">
      <x:c r="A185" s="106" t="str">
        <x:v>PHY-096</x:v>
      </x:c>
      <x:c r="B185" s="106" t="str">
        <x:v>物理</x:v>
      </x:c>
      <x:c r="C185" s="106" t="str">
        <x:v>中1</x:v>
      </x:c>
      <x:c r="D185" s="106" t="str">
        <x:v>物質と力</x:v>
      </x:c>
      <x:c r="E185" s="106" t="str">
        <x:v>用語</x:v>
      </x:c>
      <x:c r="F185" s="106" t="str">
        <x:v>A</x:v>
      </x:c>
      <x:c r="G185" s="106" t="n">
        <x:v>63</x:v>
      </x:c>
      <x:c r="H185" s="18" t="str">
        <x:v>密度</x:v>
      </x:c>
      <x:c r="I185" s="18" t="str">
        <x:v>物質1 cm³あたりなどの質量。密度＝質量÷体積、よく使う単位はg/cm³。物質固有の値として同定に使えるが、温度や状態で変化する。つながり：質量／体積／浮沈</x:v>
      </x:c>
      <x:c r="J185" s="18" t="str">
        <x:v>質量／体積／浮沈</x:v>
      </x:c>
    </x:row>
    <x:row r="186" ht="62" customHeight="1">
      <x:c r="A186" s="106" t="str">
        <x:v>PHY-097</x:v>
      </x:c>
      <x:c r="B186" s="106" t="str">
        <x:v>物理</x:v>
      </x:c>
      <x:c r="C186" s="106" t="str">
        <x:v>中1</x:v>
      </x:c>
      <x:c r="D186" s="106" t="str">
        <x:v>物質と力</x:v>
      </x:c>
      <x:c r="E186" s="106" t="str">
        <x:v>計算</x:v>
      </x:c>
      <x:c r="F186" s="106" t="str">
        <x:v>A</x:v>
      </x:c>
      <x:c r="G186" s="106" t="str"/>
      <x:c r="H186" s="18" t="str">
        <x:v>密度の三角関係</x:v>
      </x:c>
      <x:c r="I186" s="18" t="str">
        <x:v>密度＝質量÷体積、質量＝密度×体積、体積＝質量÷密度。単位をそろえ、gとcm³なら答えはg/cm³。体積が大きいだけで密度が大きいとはいえない。つながり：密度／質量／体積</x:v>
      </x:c>
      <x:c r="J186" s="18" t="str">
        <x:v>密度／質量／体積</x:v>
      </x:c>
    </x:row>
    <x:row r="187" ht="62" customHeight="1">
      <x:c r="A187" s="106" t="str">
        <x:v>CHE-003</x:v>
      </x:c>
      <x:c r="B187" s="106" t="str">
        <x:v>化学</x:v>
      </x:c>
      <x:c r="C187" s="106" t="str">
        <x:v>中1</x:v>
      </x:c>
      <x:c r="D187" s="106" t="str">
        <x:v>物質の状態</x:v>
      </x:c>
      <x:c r="E187" s="106" t="str">
        <x:v>用語</x:v>
      </x:c>
      <x:c r="F187" s="106" t="str">
        <x:v>A</x:v>
      </x:c>
      <x:c r="G187" s="106" t="n">
        <x:v>39</x:v>
      </x:c>
      <x:c r="H187" s="18" t="str">
        <x:v>状態変化の粒子モデル</x:v>
      </x:c>
      <x:c r="I187" s="18" t="str">
        <x:v>固体では粒子が規則的に並びその場で振動し、液体では近接したまま動き、気体では離れて自由に動く。状態変化で粒子そのものの種類や個数は変わらない。つながり：粒子／状態変化／熱運動</x:v>
      </x:c>
      <x:c r="J187" s="18" t="str">
        <x:v>粒子／状態変化／熱運動</x:v>
      </x:c>
    </x:row>
    <x:row r="188" ht="62" customHeight="1">
      <x:c r="A188" s="106" t="str">
        <x:v>CHE-004</x:v>
      </x:c>
      <x:c r="B188" s="106" t="str">
        <x:v>化学</x:v>
      </x:c>
      <x:c r="C188" s="106" t="str">
        <x:v>中1</x:v>
      </x:c>
      <x:c r="D188" s="106" t="str">
        <x:v>物質の状態</x:v>
      </x:c>
      <x:c r="E188" s="106" t="str">
        <x:v>誤解対策</x:v>
      </x:c>
      <x:c r="F188" s="106" t="str">
        <x:v>A</x:v>
      </x:c>
      <x:c r="G188" s="106" t="str"/>
      <x:c r="H188" s="18" t="str">
        <x:v>状態変化と質量</x:v>
      </x:c>
      <x:c r="I188" s="18" t="str">
        <x:v>密閉した容器内では、状態が変わっても粒子の種類と数が同じなので全体の質量は変わらない。開放容器で液体が減るのは、気体となって外へ出たため。つながり：質量保存／蒸発／密閉系</x:v>
      </x:c>
      <x:c r="J188" s="18" t="str">
        <x:v>質量保存／蒸発／密閉系</x:v>
      </x:c>
    </x:row>
    <x:row r="189" ht="62" customHeight="1">
      <x:c r="A189" s="106" t="str">
        <x:v>CHE-005</x:v>
      </x:c>
      <x:c r="B189" s="106" t="str">
        <x:v>化学</x:v>
      </x:c>
      <x:c r="C189" s="106" t="str">
        <x:v>中1</x:v>
      </x:c>
      <x:c r="D189" s="106" t="str">
        <x:v>物質の状態</x:v>
      </x:c>
      <x:c r="E189" s="106" t="str">
        <x:v>比較</x:v>
      </x:c>
      <x:c r="F189" s="106" t="str">
        <x:v>A</x:v>
      </x:c>
      <x:c r="G189" s="106" t="str"/>
      <x:c r="H189" s="18" t="str">
        <x:v>状態変化と体積</x:v>
      </x:c>
      <x:c r="I189" s="18" t="str">
        <x:v>一般に固体→液体→気体で体積は大きくなり、特に気体で大きい。水は例外的に凍ると体積が増えるため、氷の密度は水より小さく浮く。質量は変わらない。つながり：密度／氷／質量保存</x:v>
      </x:c>
      <x:c r="J189" s="18" t="str">
        <x:v>密度／氷／質量保存</x:v>
      </x:c>
    </x:row>
    <x:row r="190" ht="62" customHeight="1">
      <x:c r="A190" s="106" t="str">
        <x:v>CHE-006</x:v>
      </x:c>
      <x:c r="B190" s="106" t="str">
        <x:v>化学</x:v>
      </x:c>
      <x:c r="C190" s="106" t="str">
        <x:v>中1</x:v>
      </x:c>
      <x:c r="D190" s="106" t="str">
        <x:v>物質の状態</x:v>
      </x:c>
      <x:c r="E190" s="106" t="str">
        <x:v>比較</x:v>
      </x:c>
      <x:c r="F190" s="106" t="str">
        <x:v>A</x:v>
      </x:c>
      <x:c r="G190" s="106" t="str"/>
      <x:c r="H190" s="18" t="str">
        <x:v>融解（ゆうかい）と凝固（ぎょうこ）</x:v>
      </x:c>
      <x:c r="I190" s="18" t="str">
        <x:v>固体が液体になるのが融解（ゆうかい）、液体が固体になるのが凝固（ぎょうこ）。純物質では一定圧力下で融点（ゆうてん）と凝固点は同じ温度になり、変化中は加熱・冷却しても温度がほぼ一定。つながり：融点／状態変化／加熱曲線</x:v>
      </x:c>
      <x:c r="J190" s="18" t="str">
        <x:v>融点／状態変化／加熱曲線</x:v>
      </x:c>
    </x:row>
    <x:row r="191" ht="62" customHeight="1">
      <x:c r="A191" s="106" t="str">
        <x:v>CHE-007</x:v>
      </x:c>
      <x:c r="B191" s="106" t="str">
        <x:v>化学</x:v>
      </x:c>
      <x:c r="C191" s="106" t="str">
        <x:v>中1</x:v>
      </x:c>
      <x:c r="D191" s="106" t="str">
        <x:v>物質の状態</x:v>
      </x:c>
      <x:c r="E191" s="106" t="str">
        <x:v>比較</x:v>
      </x:c>
      <x:c r="F191" s="106" t="str">
        <x:v>A</x:v>
      </x:c>
      <x:c r="G191" s="106" t="str"/>
      <x:c r="H191" s="18" t="str">
        <x:v>気化と液化</x:v>
      </x:c>
      <x:c r="I191" s="18" t="str">
        <x:v>液体が気体になるのが気化、気体が液体になるのが液化。気化には液面で起こる蒸発と、液体内部からも起こる沸騰がある。液化では熱を周囲へ放出する。つながり：蒸発／沸騰／凝結（ぎょうけつ）</x:v>
      </x:c>
      <x:c r="J191" s="18" t="str">
        <x:v>蒸発／沸騰／凝結ぎょうけつ&lt;／rt&gt;&lt;／ruby&gt;</x:v>
      </x:c>
    </x:row>
    <x:row r="192" ht="62" customHeight="1">
      <x:c r="A192" s="106" t="str">
        <x:v>CHE-010</x:v>
      </x:c>
      <x:c r="B192" s="106" t="str">
        <x:v>化学</x:v>
      </x:c>
      <x:c r="C192" s="106" t="str">
        <x:v>中1</x:v>
      </x:c>
      <x:c r="D192" s="106" t="str">
        <x:v>物質の状態</x:v>
      </x:c>
      <x:c r="E192" s="106" t="str">
        <x:v>読図</x:v>
      </x:c>
      <x:c r="F192" s="106" t="str">
        <x:v>A</x:v>
      </x:c>
      <x:c r="G192" s="106" t="str"/>
      <x:c r="H192" s="18" t="str">
        <x:v>加熱曲線</x:v>
      </x:c>
      <x:c r="I192" s="18" t="str">
        <x:v>純物質を一定の割合で加熱すると、状態変化中は加えた熱が粒子間の結びつきを変えるため温度がほぼ一定になる。水平部分の温度から融点（ゆうてん）・沸点（ふってん）を読む。つながり：融点／沸点／潜熱</x:v>
      </x:c>
      <x:c r="J192" s="18" t="str">
        <x:v>融点／沸点／潜熱</x:v>
      </x:c>
    </x:row>
    <x:row r="193" ht="62" customHeight="1">
      <x:c r="A193" s="106" t="str">
        <x:v>CHE-011</x:v>
      </x:c>
      <x:c r="B193" s="106" t="str">
        <x:v>化学</x:v>
      </x:c>
      <x:c r="C193" s="106" t="str">
        <x:v>中1</x:v>
      </x:c>
      <x:c r="D193" s="106" t="str">
        <x:v>物質の状態</x:v>
      </x:c>
      <x:c r="E193" s="106" t="str">
        <x:v>比較</x:v>
      </x:c>
      <x:c r="F193" s="106" t="str">
        <x:v>B</x:v>
      </x:c>
      <x:c r="G193" s="106" t="str"/>
      <x:c r="H193" s="18" t="str">
        <x:v>純物質と混合物の加熱曲線</x:v>
      </x:c>
      <x:c r="I193" s="18" t="str">
        <x:v>純物質は融解（ゆうかい）・沸騰中の温度が一定になりやすい。混合物は組成が変化しながら状態変化するため、温度が一定にならないことが多い。水平部分の有無が手がかり。つながり：純物質／混合物／沸点（ふってん）</x:v>
      </x:c>
      <x:c r="J193" s="18" t="str">
        <x:v>純物質／混合物／沸点ふってん&lt;／rt&gt;&lt;／ruby&gt;</x:v>
      </x:c>
    </x:row>
    <x:row r="194" ht="62" customHeight="1">
      <x:c r="A194" s="106" t="str">
        <x:v>CHE-013</x:v>
      </x:c>
      <x:c r="B194" s="106" t="str">
        <x:v>化学</x:v>
      </x:c>
      <x:c r="C194" s="106" t="str">
        <x:v>中1</x:v>
      </x:c>
      <x:c r="D194" s="106" t="str">
        <x:v>水溶液</x:v>
      </x:c>
      <x:c r="E194" s="106" t="str">
        <x:v>用語</x:v>
      </x:c>
      <x:c r="F194" s="106" t="str">
        <x:v>A</x:v>
      </x:c>
      <x:c r="G194" s="106" t="n">
        <x:v>40</x:v>
      </x:c>
      <x:c r="H194" s="18" t="str">
        <x:v>溶質（ようしつ）・溶媒（ようばい）・溶液</x:v>
      </x:c>
      <x:c r="I194" s="18" t="str">
        <x:v>溶かされる物質が溶質（ようしつ）、溶かす液体が溶媒（ようばい）、均一に混ざったものが溶液。溶媒が水なら水溶液。食塩水では食塩が溶質、水が溶媒。つながり：水溶液／溶解／濃度</x:v>
      </x:c>
      <x:c r="J194" s="18" t="str">
        <x:v>水溶液／溶解／濃度</x:v>
      </x:c>
    </x:row>
    <x:row r="195" ht="62" customHeight="1">
      <x:c r="A195" s="106" t="str">
        <x:v>CHE-016</x:v>
      </x:c>
      <x:c r="B195" s="106" t="str">
        <x:v>化学</x:v>
      </x:c>
      <x:c r="C195" s="106" t="str">
        <x:v>中1</x:v>
      </x:c>
      <x:c r="D195" s="106" t="str">
        <x:v>水溶液</x:v>
      </x:c>
      <x:c r="E195" s="106" t="str">
        <x:v>実験</x:v>
      </x:c>
      <x:c r="F195" s="106" t="str">
        <x:v>A</x:v>
      </x:c>
      <x:c r="G195" s="106" t="n">
        <x:v>41</x:v>
      </x:c>
      <x:c r="H195" s="18" t="str">
        <x:v>ろ過</x:v>
      </x:c>
      <x:c r="I195" s="18" t="str">
        <x:v>液体に溶けていない固体を、ろ紙を通して分ける操作。溶けた食塩などは粒子がろ紙を通るので分けられない。液面をろ紙の上端より低くし、液をガラス棒へ伝わせる。つながり：ろ紙／溶解／蒸発</x:v>
      </x:c>
      <x:c r="J195" s="18" t="str">
        <x:v>ろ紙／溶解／蒸発</x:v>
      </x:c>
    </x:row>
    <x:row r="196" ht="62" customHeight="1">
      <x:c r="A196" s="106" t="str">
        <x:v>CHE-017</x:v>
      </x:c>
      <x:c r="B196" s="106" t="str">
        <x:v>化学</x:v>
      </x:c>
      <x:c r="C196" s="106" t="str">
        <x:v>中1</x:v>
      </x:c>
      <x:c r="D196" s="106" t="str">
        <x:v>水溶液</x:v>
      </x:c>
      <x:c r="E196" s="106" t="str">
        <x:v>実験</x:v>
      </x:c>
      <x:c r="F196" s="106" t="str">
        <x:v>B</x:v>
      </x:c>
      <x:c r="G196" s="106" t="str"/>
      <x:c r="H196" s="18" t="str">
        <x:v>ろ過を速く正確にする方法</x:v>
      </x:c>
      <x:c r="I196" s="18" t="str">
        <x:v>ろ紙を正しく折り、水で漏斗の内面へ密着させる。漏斗の脚の先端は受器の内壁に触れさせ、液面はろ紙の上端より低くする。沈殿（ちんでん）を静置して上澄みから流すと速い。つながり：ろ紙／漏斗／沈殿</x:v>
      </x:c>
      <x:c r="J196" s="18" t="str">
        <x:v>ろ紙／漏斗／沈殿</x:v>
      </x:c>
    </x:row>
    <x:row r="197" ht="62" customHeight="1">
      <x:c r="A197" s="106" t="str">
        <x:v>CHE-020</x:v>
      </x:c>
      <x:c r="B197" s="106" t="str">
        <x:v>化学</x:v>
      </x:c>
      <x:c r="C197" s="106" t="str">
        <x:v>中1</x:v>
      </x:c>
      <x:c r="D197" s="106" t="str">
        <x:v>水溶液</x:v>
      </x:c>
      <x:c r="E197" s="106" t="str">
        <x:v>用語</x:v>
      </x:c>
      <x:c r="F197" s="106" t="str">
        <x:v>A</x:v>
      </x:c>
      <x:c r="G197" s="106" t="n">
        <x:v>42</x:v>
      </x:c>
      <x:c r="H197" s="18" t="str">
        <x:v>溶解度（ようかいど）</x:v>
      </x:c>
      <x:c r="I197" s="18" t="str">
        <x:v>一定温度で水100 gに溶ける物質の最大質量。単位は通常g/水100 g。水溶液100 gあたりではない。多くの固体は温度上昇で増えるが、増え方は物質ごとに違う。つながり：飽和水溶液（ほうわすいようえき）／溶解度（ようかいど）曲線／再結晶（さいけっしょう）</x:v>
      </x:c>
      <x:c r="J197" s="18" t="str">
        <x:v>飽和水溶液ほうわすいようえき&lt;／rt&gt;&lt;／ruby&gt;／溶解度ようかいど&lt;／rt&gt;&lt;／ruby&gt;曲線／再結晶さいけっしょう&lt;／rt&gt;&lt;／ruby&gt;</x:v>
      </x:c>
    </x:row>
    <x:row r="198" ht="62" customHeight="1">
      <x:c r="A198" s="106" t="str">
        <x:v>CHE-021</x:v>
      </x:c>
      <x:c r="B198" s="106" t="str">
        <x:v>化学</x:v>
      </x:c>
      <x:c r="C198" s="106" t="str">
        <x:v>中1</x:v>
      </x:c>
      <x:c r="D198" s="106" t="str">
        <x:v>水溶液</x:v>
      </x:c>
      <x:c r="E198" s="106" t="str">
        <x:v>用語</x:v>
      </x:c>
      <x:c r="F198" s="106" t="str">
        <x:v>A</x:v>
      </x:c>
      <x:c r="G198" s="106" t="str"/>
      <x:c r="H198" s="18" t="str">
        <x:v>飽和（ほうわ）水溶液</x:v>
      </x:c>
      <x:c r="I198" s="18" t="str">
        <x:v>ある温度で溶質（ようしつ）が限界まで溶けた水溶液。それ以上加えると溶け残る。温度を上げてさらに溶ける場合や、水を加えて不飽和にできる。底に固体があるだけでは、十分な時間・温度条件も確認する。つながり：溶解度（ようかいど）／不飽和／結晶</x:v>
      </x:c>
      <x:c r="J198" s="18" t="str">
        <x:v>溶解度ようかいど&lt;／rt&gt;&lt;／ruby&gt;／不飽和／結晶</x:v>
      </x:c>
    </x:row>
    <x:row r="199" ht="62" customHeight="1">
      <x:c r="A199" s="106" t="str">
        <x:v>CHE-022</x:v>
      </x:c>
      <x:c r="B199" s="106" t="str">
        <x:v>化学</x:v>
      </x:c>
      <x:c r="C199" s="106" t="str">
        <x:v>中1</x:v>
      </x:c>
      <x:c r="D199" s="106" t="str">
        <x:v>水溶液</x:v>
      </x:c>
      <x:c r="E199" s="106" t="str">
        <x:v>読図</x:v>
      </x:c>
      <x:c r="F199" s="106" t="str">
        <x:v>A</x:v>
      </x:c>
      <x:c r="G199" s="106" t="n">
        <x:v>43</x:v>
      </x:c>
      <x:c r="H199" s="18" t="str">
        <x:v>溶解度（ようかいど）曲線</x:v>
      </x:c>
      <x:c r="I199" s="18" t="str">
        <x:v>横軸に温度、縦軸に水100 gへ溶ける最大質量を表す。曲線上が飽和、下側は全部溶ける範囲、上側は超過分が溶け残る。水の量が100 gでないときは比例換算する。つながり：溶解度（ようかいど）／飽和／再結晶（さいけっしょう）</x:v>
      </x:c>
      <x:c r="J199" s="18" t="str">
        <x:v>溶解度ようかいど&lt;／rt&gt;&lt;／ruby&gt;／飽和／再結晶さいけっしょう&lt;／rt&gt;&lt;／ruby&gt;</x:v>
      </x:c>
    </x:row>
    <x:row r="200" ht="62" customHeight="1">
      <x:c r="A200" s="106" t="str">
        <x:v>CHE-023</x:v>
      </x:c>
      <x:c r="B200" s="106" t="str">
        <x:v>化学</x:v>
      </x:c>
      <x:c r="C200" s="106" t="str">
        <x:v>中1</x:v>
      </x:c>
      <x:c r="D200" s="106" t="str">
        <x:v>水溶液</x:v>
      </x:c>
      <x:c r="E200" s="106" t="str">
        <x:v>計算</x:v>
      </x:c>
      <x:c r="F200" s="106" t="str">
        <x:v>A</x:v>
      </x:c>
      <x:c r="G200" s="106" t="str"/>
      <x:c r="H200" s="18" t="str">
        <x:v>冷却で出る結晶の質量</x:v>
      </x:c>
      <x:c r="I200" s="18" t="str">
        <x:v>高温の飽和水溶液（ほうわすいようえき）を冷やすと、結晶質量＝高温で溶けていた質量−低温で溶けていられる質量。同じ水の質量に換算して差を取る。蒸発した水がある場合は別計算。つながり：溶解度（ようかいど）曲線／再結晶（さいけっしょう）／飽和</x:v>
      </x:c>
      <x:c r="J200" s="18" t="str">
        <x:v>溶解度ようかいど&lt;／rt&gt;&lt;／ruby&gt;曲線／再結晶さいけっしょう&lt;／rt&gt;&lt;／ruby&gt;／飽和</x:v>
      </x:c>
    </x:row>
    <x:row r="201" ht="62" customHeight="1">
      <x:c r="A201" s="106" t="str">
        <x:v>CHE-024</x:v>
      </x:c>
      <x:c r="B201" s="106" t="str">
        <x:v>化学</x:v>
      </x:c>
      <x:c r="C201" s="106" t="str">
        <x:v>中1</x:v>
      </x:c>
      <x:c r="D201" s="106" t="str">
        <x:v>水溶液</x:v>
      </x:c>
      <x:c r="E201" s="106" t="str">
        <x:v>実験</x:v>
      </x:c>
      <x:c r="F201" s="106" t="str">
        <x:v>A</x:v>
      </x:c>
      <x:c r="G201" s="106" t="str"/>
      <x:c r="H201" s="18" t="str">
        <x:v>再結晶（さいけっしょう）</x:v>
      </x:c>
      <x:c r="I201" s="18" t="str">
        <x:v>固体の溶解度（ようかいど）が温度で変わる性質などを利用し、いったん溶かしてから結晶として取り出して精製する操作。温度による溶解度差が大きい物質ほど冷却法が有効。つながり：結晶／溶解度／精製</x:v>
      </x:c>
      <x:c r="J201" s="18" t="str">
        <x:v>結晶／溶解度／精製</x:v>
      </x:c>
    </x:row>
    <x:row r="202" ht="62" customHeight="1">
      <x:c r="A202" s="106" t="str">
        <x:v>CHE-025</x:v>
      </x:c>
      <x:c r="B202" s="106" t="str">
        <x:v>化学</x:v>
      </x:c>
      <x:c r="C202" s="106" t="str">
        <x:v>中1</x:v>
      </x:c>
      <x:c r="D202" s="106" t="str">
        <x:v>水溶液</x:v>
      </x:c>
      <x:c r="E202" s="106" t="str">
        <x:v>計算</x:v>
      </x:c>
      <x:c r="F202" s="106" t="str">
        <x:v>A</x:v>
      </x:c>
      <x:c r="G202" s="106" t="n">
        <x:v>58</x:v>
      </x:c>
      <x:c r="H202" s="18" t="str">
        <x:v>質量パーセント濃度</x:v>
      </x:c>
      <x:c r="I202" s="18" t="str">
        <x:v>溶液全体に占める溶質（ようしつ）の質量割合。濃度％＝溶質の質量÷溶液の質量×100、溶液質量＝溶質＋溶媒（ようばい）。分母を水の質量にしない。つながり：溶質／溶液／希釈</x:v>
      </x:c>
      <x:c r="J202" s="18" t="str">
        <x:v>溶質／溶液／希釈</x:v>
      </x:c>
    </x:row>
    <x:row r="203" ht="62" customHeight="1">
      <x:c r="A203" s="106" t="str">
        <x:v>CHE-026</x:v>
      </x:c>
      <x:c r="B203" s="106" t="str">
        <x:v>化学</x:v>
      </x:c>
      <x:c r="C203" s="106" t="str">
        <x:v>中1</x:v>
      </x:c>
      <x:c r="D203" s="106" t="str">
        <x:v>水溶液</x:v>
      </x:c>
      <x:c r="E203" s="106" t="str">
        <x:v>計算</x:v>
      </x:c>
      <x:c r="F203" s="106" t="str">
        <x:v>A</x:v>
      </x:c>
      <x:c r="G203" s="106" t="str"/>
      <x:c r="H203" s="18" t="str">
        <x:v>濃度から溶質（ようしつ）を求める</x:v>
      </x:c>
      <x:c r="I203" s="18" t="str">
        <x:v>溶質（ようしつ）の質量＝溶液の質量×濃度/100。例えば8％食塩水250 gには20 gの食塩が含まれる。残り230 gが水。単位をgにそろえる。つながり：質量パーセント濃度／溶液／百分率</x:v>
      </x:c>
      <x:c r="J203" s="18" t="str">
        <x:v>質量パーセント濃度／溶液／百分率</x:v>
      </x:c>
    </x:row>
    <x:row r="204" ht="62" customHeight="1">
      <x:c r="A204" s="106" t="str">
        <x:v>CHE-027</x:v>
      </x:c>
      <x:c r="B204" s="106" t="str">
        <x:v>化学</x:v>
      </x:c>
      <x:c r="C204" s="106" t="str">
        <x:v>中1</x:v>
      </x:c>
      <x:c r="D204" s="106" t="str">
        <x:v>水溶液</x:v>
      </x:c>
      <x:c r="E204" s="106" t="str">
        <x:v>計算</x:v>
      </x:c>
      <x:c r="F204" s="106" t="str">
        <x:v>A</x:v>
      </x:c>
      <x:c r="G204" s="106" t="str"/>
      <x:c r="H204" s="18" t="str">
        <x:v>水で薄める計算</x:v>
      </x:c>
      <x:c r="I204" s="18" t="str">
        <x:v>水を加えても溶質（ようしつ）の質量は変わらない。薄めた後の溶液質量＝元の溶液＋加えた水として新しい濃度を求める。蒸発では水だけが減ると考える。つながり：希釈／質量パーセント濃度／溶質保存</x:v>
      </x:c>
      <x:c r="J204" s="18" t="str">
        <x:v>希釈／質量パーセント濃度／溶質保存</x:v>
      </x:c>
    </x:row>
    <x:row r="205" ht="62" customHeight="1">
      <x:c r="A205" s="106" t="str">
        <x:v>CHE-028</x:v>
      </x:c>
      <x:c r="B205" s="106" t="str">
        <x:v>化学</x:v>
      </x:c>
      <x:c r="C205" s="106" t="str">
        <x:v>中1</x:v>
      </x:c>
      <x:c r="D205" s="106" t="str">
        <x:v>水溶液</x:v>
      </x:c>
      <x:c r="E205" s="106" t="str">
        <x:v>計算</x:v>
      </x:c>
      <x:c r="F205" s="106" t="str">
        <x:v>B</x:v>
      </x:c>
      <x:c r="G205" s="106" t="str"/>
      <x:c r="H205" s="18" t="str">
        <x:v>異なる濃度の溶液を混ぜる</x:v>
      </x:c>
      <x:c r="I205" s="18" t="str">
        <x:v>同じ溶質（ようしつ）で反応・沈殿（ちんでん）・揮発がない水溶液同士なら、各溶質質量を足し、溶液質量も足す。混合後濃度＝溶質合計÷溶液合計×100。単純平均できるのは溶液質量が等しい場合。つながり：濃度／溶質質量／加重平均</x:v>
      </x:c>
      <x:c r="J205" s="18" t="str">
        <x:v>濃度／溶質質量／加重平均</x:v>
      </x:c>
    </x:row>
    <x:row r="206" ht="62" customHeight="1">
      <x:c r="A206" s="106" t="str">
        <x:v>CHE-032</x:v>
      </x:c>
      <x:c r="B206" s="106" t="str">
        <x:v>化学</x:v>
      </x:c>
      <x:c r="C206" s="106" t="str">
        <x:v>中1</x:v>
      </x:c>
      <x:c r="D206" s="106" t="str">
        <x:v>気体</x:v>
      </x:c>
      <x:c r="E206" s="106" t="str">
        <x:v>用語</x:v>
      </x:c>
      <x:c r="F206" s="106" t="str">
        <x:v>B</x:v>
      </x:c>
      <x:c r="G206" s="106" t="str"/>
      <x:c r="H206" s="18" t="str">
        <x:v>窒素の性質</x:v>
      </x:c>
      <x:c r="I206" s="18" t="str">
        <x:v>無色・無臭で、空気の約78％を占める。常温では反応しにくく、燃焼を助けない。食品包装に入れて酸化（さんか）を抑えたり、液体窒素を冷却に使ったりする。つながり：空気／酸化防止／アンモニア</x:v>
      </x:c>
      <x:c r="J206" s="18" t="str">
        <x:v>空気／酸化防止／アンモニア</x:v>
      </x:c>
    </x:row>
    <x:row r="207" ht="62" customHeight="1">
      <x:c r="A207" s="106" t="str">
        <x:v>CHE-033</x:v>
      </x:c>
      <x:c r="B207" s="106" t="str">
        <x:v>化学</x:v>
      </x:c>
      <x:c r="C207" s="106" t="str">
        <x:v>中1</x:v>
      </x:c>
      <x:c r="D207" s="106" t="str">
        <x:v>気体</x:v>
      </x:c>
      <x:c r="E207" s="106" t="str">
        <x:v>実験</x:v>
      </x:c>
      <x:c r="F207" s="106" t="str">
        <x:v>A</x:v>
      </x:c>
      <x:c r="G207" s="106" t="str"/>
      <x:c r="H207" s="18" t="str">
        <x:v>水素の性質</x:v>
      </x:c>
      <x:c r="I207" s="18" t="str">
        <x:v>無色・無臭で、最も密度が小さく、水に溶けにくい。火を近づけると音を立てて燃え、水ができる。空気との混合気体は爆発しやすいため、最初の気体を捨ててから調べる。つながり：燃焼／水／上方置換</x:v>
      </x:c>
      <x:c r="J207" s="18" t="str">
        <x:v>燃焼／水／上方置換</x:v>
      </x:c>
    </x:row>
    <x:row r="208" ht="62" customHeight="1">
      <x:c r="A208" s="106" t="str">
        <x:v>CHE-034</x:v>
      </x:c>
      <x:c r="B208" s="106" t="str">
        <x:v>化学</x:v>
      </x:c>
      <x:c r="C208" s="106" t="str">
        <x:v>中1</x:v>
      </x:c>
      <x:c r="D208" s="106" t="str">
        <x:v>気体</x:v>
      </x:c>
      <x:c r="E208" s="106" t="str">
        <x:v>用語</x:v>
      </x:c>
      <x:c r="F208" s="106" t="str">
        <x:v>A</x:v>
      </x:c>
      <x:c r="G208" s="106" t="str"/>
      <x:c r="H208" s="18" t="str">
        <x:v>アンモニアの性質</x:v>
      </x:c>
      <x:c r="I208" s="18" t="str">
        <x:v>無色で刺激臭があり、空気より軽く、水に非常によく溶けて水溶液はアルカリ性。湿らせた赤色リトマス紙を青くする。毒性があるので直接かがない。つながり：アルカリ性／上方置換／噴水実験</x:v>
      </x:c>
      <x:c r="J208" s="18" t="str">
        <x:v>アルカリ性／上方置換／噴水実験</x:v>
      </x:c>
    </x:row>
    <x:row r="209" ht="62" customHeight="1">
      <x:c r="A209" s="106" t="str">
        <x:v>CHE-035</x:v>
      </x:c>
      <x:c r="B209" s="106" t="str">
        <x:v>化学</x:v>
      </x:c>
      <x:c r="C209" s="106" t="str">
        <x:v>中1</x:v>
      </x:c>
      <x:c r="D209" s="106" t="str">
        <x:v>気体</x:v>
      </x:c>
      <x:c r="E209" s="106" t="str">
        <x:v>比較</x:v>
      </x:c>
      <x:c r="F209" s="106" t="str">
        <x:v>A</x:v>
      </x:c>
      <x:c r="G209" s="106" t="str"/>
      <x:c r="H209" s="18" t="str">
        <x:v>気体の集め方の選択</x:v>
      </x:c>
      <x:c r="I209" s="18" t="str">
        <x:v>水に溶けにくい気体は水上置換（すいじょうちかん）が基本。水に溶けやすい場合、空気より重ければ下方置換（かほうちかん）、軽ければ上方置換（じょうほうちかん）。反応性や安全性も考える。つながり：水上置換／上方置換／下方置換</x:v>
      </x:c>
      <x:c r="J209" s="18" t="str">
        <x:v>水上置換／上方置換／下方置換</x:v>
      </x:c>
    </x:row>
    <x:row r="210" ht="62" customHeight="1">
      <x:c r="A210" s="106" t="str">
        <x:v>CHE-036</x:v>
      </x:c>
      <x:c r="B210" s="106" t="str">
        <x:v>化学</x:v>
      </x:c>
      <x:c r="C210" s="106" t="str">
        <x:v>中1</x:v>
      </x:c>
      <x:c r="D210" s="106" t="str">
        <x:v>気体</x:v>
      </x:c>
      <x:c r="E210" s="106" t="str">
        <x:v>実験</x:v>
      </x:c>
      <x:c r="F210" s="106" t="str">
        <x:v>A</x:v>
      </x:c>
      <x:c r="G210" s="106" t="str"/>
      <x:c r="H210" s="18" t="str">
        <x:v>水上置換法（すいじょうちかんほう）</x:v>
      </x:c>
      <x:c r="I210" s="18" t="str">
        <x:v>水に溶けにくい気体を、水を満たして逆さにした容器へ集める。空気が混ざりにくく純度が高く、量も水面から分かる。酸素・水素などに適する。つながり：酸素／水素／気体の溶解度（ようかいど）</x:v>
      </x:c>
      <x:c r="J210" s="18" t="str">
        <x:v>酸素／水素／気体の溶解度ようかいど&lt;／rt&gt;&lt;／ruby&gt;</x:v>
      </x:c>
    </x:row>
    <x:row r="211" ht="62" customHeight="1">
      <x:c r="A211" s="106" t="str">
        <x:v>CHE-037</x:v>
      </x:c>
      <x:c r="B211" s="106" t="str">
        <x:v>化学</x:v>
      </x:c>
      <x:c r="C211" s="106" t="str">
        <x:v>中1</x:v>
      </x:c>
      <x:c r="D211" s="106" t="str">
        <x:v>気体</x:v>
      </x:c>
      <x:c r="E211" s="106" t="str">
        <x:v>実験</x:v>
      </x:c>
      <x:c r="F211" s="106" t="str">
        <x:v>A</x:v>
      </x:c>
      <x:c r="G211" s="106" t="str"/>
      <x:c r="H211" s="18" t="str">
        <x:v>上方置換法（じょうほうちかんほう）</x:v>
      </x:c>
      <x:c r="I211" s="18" t="str">
        <x:v>水に溶けやすく空気より軽い気体を、口を下向きにした容器の上方へ集める方法。気体が上がり、空気を下へ追い出す。アンモニアなどに用いる。つながり：アンモニア／密度／気体捕集</x:v>
      </x:c>
      <x:c r="J211" s="18" t="str">
        <x:v>アンモニア／密度／気体捕集</x:v>
      </x:c>
    </x:row>
    <x:row r="212" ht="62" customHeight="1">
      <x:c r="A212" s="106" t="str">
        <x:v>CHE-038</x:v>
      </x:c>
      <x:c r="B212" s="106" t="str">
        <x:v>化学</x:v>
      </x:c>
      <x:c r="C212" s="106" t="str">
        <x:v>中1</x:v>
      </x:c>
      <x:c r="D212" s="106" t="str">
        <x:v>気体</x:v>
      </x:c>
      <x:c r="E212" s="106" t="str">
        <x:v>実験</x:v>
      </x:c>
      <x:c r="F212" s="106" t="str">
        <x:v>A</x:v>
      </x:c>
      <x:c r="G212" s="106" t="str"/>
      <x:c r="H212" s="18" t="str">
        <x:v>下方置換法（かほうちかんほう）</x:v>
      </x:c>
      <x:c r="I212" s="18" t="str">
        <x:v>水に溶けやすく空気より重い気体を、口を上向きにした容器の下方へ集め、空気を上へ追い出す。二酸化（さんか）炭素や塩素などに用いる。つながり：二酸化炭素／塩素／密度</x:v>
      </x:c>
      <x:c r="J212" s="18" t="str">
        <x:v>二酸化炭素／塩素／密度</x:v>
      </x:c>
    </x:row>
    <x:row r="213" ht="62" customHeight="1">
      <x:c r="A213" s="106" t="str">
        <x:v>CHE-039</x:v>
      </x:c>
      <x:c r="B213" s="106" t="str">
        <x:v>化学</x:v>
      </x:c>
      <x:c r="C213" s="106" t="str">
        <x:v>中1</x:v>
      </x:c>
      <x:c r="D213" s="106" t="str">
        <x:v>気体</x:v>
      </x:c>
      <x:c r="E213" s="106" t="str">
        <x:v>実験</x:v>
      </x:c>
      <x:c r="F213" s="106" t="str">
        <x:v>A</x:v>
      </x:c>
      <x:c r="G213" s="106" t="str"/>
      <x:c r="H213" s="18" t="str">
        <x:v>気体発生装置の最初の気体</x:v>
      </x:c>
      <x:c r="I213" s="18" t="str">
        <x:v>装置内に最初から空気が入っているため、発生直後の気体は目的の気体と空気の混合物。純度や爆発防止のため、最初の分は集めずに追い出す。つながり：水素／気体捕集／安全</x:v>
      </x:c>
      <x:c r="J213" s="18" t="str">
        <x:v>水素／気体捕集／安全</x:v>
      </x:c>
    </x:row>
    <x:row r="214" ht="62" customHeight="1">
      <x:c r="A214" s="106" t="str">
        <x:v>CHE-040</x:v>
      </x:c>
      <x:c r="B214" s="106" t="str">
        <x:v>化学</x:v>
      </x:c>
      <x:c r="C214" s="106" t="str">
        <x:v>中1</x:v>
      </x:c>
      <x:c r="D214" s="106" t="str">
        <x:v>気体</x:v>
      </x:c>
      <x:c r="E214" s="106" t="str">
        <x:v>実験</x:v>
      </x:c>
      <x:c r="F214" s="106" t="str">
        <x:v>A</x:v>
      </x:c>
      <x:c r="G214" s="106" t="str"/>
      <x:c r="H214" s="18" t="str">
        <x:v>気体のにおいの確かめ方</x:v>
      </x:c>
      <x:c r="I214" s="18" t="str">
        <x:v>容器へ鼻を直接近づけず、手で気体を少しずつあおいで嗅ぐ。未知の気体や有毒な気体はむやみに嗅がない。アンモニアや塩素は特に注意する。つながり：アンモニア／塩素／実験安全</x:v>
      </x:c>
      <x:c r="J214" s="18" t="str">
        <x:v>アンモニア／塩素／実験安全</x:v>
      </x:c>
    </x:row>
    <x:row r="215" ht="62" customHeight="1">
      <x:c r="A215" s="106" t="str">
        <x:v>CHE-052</x:v>
      </x:c>
      <x:c r="B215" s="106" t="str">
        <x:v>化学</x:v>
      </x:c>
      <x:c r="C215" s="106" t="str">
        <x:v>中1</x:v>
      </x:c>
      <x:c r="D215" s="106" t="str">
        <x:v>物質の分類</x:v>
      </x:c>
      <x:c r="E215" s="106" t="str">
        <x:v>比較</x:v>
      </x:c>
      <x:c r="F215" s="106" t="str">
        <x:v>A</x:v>
      </x:c>
      <x:c r="G215" s="106" t="n">
        <x:v>59</x:v>
      </x:c>
      <x:c r="H215" s="18" t="str">
        <x:v>純物質と混合物</x:v>
      </x:c>
      <x:c r="I215" s="18" t="str">
        <x:v>1種類の物質だけからなるものが純物質、複数の物質が混ざったものが混合物。純物質は一定圧力で融点（ゆうてん）・沸点（ふってん）が一定。空気や海水は見た目が均一でも混合物。つながり：融点／沸点／分離</x:v>
      </x:c>
      <x:c r="J215" s="18" t="str">
        <x:v>融点／沸点／分離</x:v>
      </x:c>
    </x:row>
    <x:row r="216" ht="62" customHeight="1">
      <x:c r="A216" s="106" t="str">
        <x:v>CHE-054</x:v>
      </x:c>
      <x:c r="B216" s="106" t="str">
        <x:v>化学</x:v>
      </x:c>
      <x:c r="C216" s="106" t="str">
        <x:v>中1</x:v>
      </x:c>
      <x:c r="D216" s="106" t="str">
        <x:v>物質の分類</x:v>
      </x:c>
      <x:c r="E216" s="106" t="str">
        <x:v>用語</x:v>
      </x:c>
      <x:c r="F216" s="106" t="str">
        <x:v>A</x:v>
      </x:c>
      <x:c r="G216" s="106" t="str"/>
      <x:c r="H216" s="18" t="str">
        <x:v>金属の共通性質</x:v>
      </x:c>
      <x:c r="I216" s="18" t="str">
        <x:v>磨くと光沢があり、電気と熱をよく通し、たたくと薄く広がる展性（てんせい）、引くと線になる延性（えんせい）を持つ。磁石につくことは共通性質ではなく、水銀のように常温で液体の金属もある。つながり：導電性／展性／延性</x:v>
      </x:c>
      <x:c r="J216" s="18" t="str">
        <x:v>導電性／展性／延性</x:v>
      </x:c>
    </x:row>
    <x:row r="217" ht="62" customHeight="1">
      <x:c r="A217" s="106" t="str">
        <x:v>CHE-055</x:v>
      </x:c>
      <x:c r="B217" s="106" t="str">
        <x:v>化学</x:v>
      </x:c>
      <x:c r="C217" s="106" t="str">
        <x:v>中1</x:v>
      </x:c>
      <x:c r="D217" s="106" t="str">
        <x:v>物質の分類</x:v>
      </x:c>
      <x:c r="E217" s="106" t="str">
        <x:v>誤解対策</x:v>
      </x:c>
      <x:c r="F217" s="106" t="str">
        <x:v>A</x:v>
      </x:c>
      <x:c r="G217" s="106" t="str"/>
      <x:c r="H217" s="18" t="str">
        <x:v>有機物と無機物</x:v>
      </x:c>
      <x:c r="I217" s="18" t="str">
        <x:v>中学では炭素を含む物質の多くを有機物とし、燃えると二酸化（さんか）炭素を生じやすい。ただし黒鉛・ダイヤモンドなど炭素の単体、CO、CO₂、炭酸塩は無機物として扱う。つながり：炭素／燃焼／二酸化炭素</x:v>
      </x:c>
      <x:c r="J217" s="18" t="str">
        <x:v>炭素／燃焼／二酸化炭素</x:v>
      </x:c>
    </x:row>
    <x:row r="218" ht="62" customHeight="1">
      <x:c r="A218" s="106" t="str">
        <x:v>CHE-056</x:v>
      </x:c>
      <x:c r="B218" s="106" t="str">
        <x:v>化学</x:v>
      </x:c>
      <x:c r="C218" s="106" t="str">
        <x:v>中1</x:v>
      </x:c>
      <x:c r="D218" s="106" t="str">
        <x:v>物質の分離</x:v>
      </x:c>
      <x:c r="E218" s="106" t="str">
        <x:v>実験</x:v>
      </x:c>
      <x:c r="F218" s="106" t="str">
        <x:v>A</x:v>
      </x:c>
      <x:c r="G218" s="106" t="str"/>
      <x:c r="H218" s="18" t="str">
        <x:v>蒸留（じょうりゅう）</x:v>
      </x:c>
      <x:c r="I218" s="18" t="str">
        <x:v>混合液を加熱し、沸点（ふってん）の低い成分を先に気化させ、冷やして液体として集める分離法。枝付きフラスコの温度計先端は枝の付け根付近に置き、冷却水は下口から入れる。つながり：沸点／液化／混合物</x:v>
      </x:c>
      <x:c r="J218" s="18" t="str">
        <x:v>沸点／液化／混合物</x:v>
      </x:c>
    </x:row>
    <x:row r="219" ht="62" customHeight="1">
      <x:c r="A219" s="106" t="str">
        <x:v>CHE-057</x:v>
      </x:c>
      <x:c r="B219" s="106" t="str">
        <x:v>化学</x:v>
      </x:c>
      <x:c r="C219" s="106" t="str">
        <x:v>中1</x:v>
      </x:c>
      <x:c r="D219" s="106" t="str">
        <x:v>物質の分離</x:v>
      </x:c>
      <x:c r="E219" s="106" t="str">
        <x:v>実験</x:v>
      </x:c>
      <x:c r="F219" s="106" t="str">
        <x:v>A</x:v>
      </x:c>
      <x:c r="G219" s="106" t="str"/>
      <x:c r="H219" s="18" t="str">
        <x:v>蒸留（じょうりゅう）装置の安全</x:v>
      </x:c>
      <x:c r="I219" s="18" t="str">
        <x:v>加熱前に沸騰石を入れ、温度計の液だめを枝の付け根付近に置く。冷却水は冷却器の下口から入れ、装置を密閉しない。液がなくなるまで加熱せず、熱い液へ沸騰石を後から入れない。つながり：蒸留（じょうりゅう）／沸騰石／冷却器</x:v>
      </x:c>
      <x:c r="J219" s="18" t="str">
        <x:v>蒸留じょうりゅう&lt;／rt&gt;&lt;／ruby&gt;／沸騰石／冷却器</x:v>
      </x:c>
    </x:row>
    <x:row r="220" ht="62" customHeight="1">
      <x:c r="A220" s="106" t="str">
        <x:v>CHE-058</x:v>
      </x:c>
      <x:c r="B220" s="106" t="str">
        <x:v>化学</x:v>
      </x:c>
      <x:c r="C220" s="106" t="str">
        <x:v>中1</x:v>
      </x:c>
      <x:c r="D220" s="106" t="str">
        <x:v>物質の分離</x:v>
      </x:c>
      <x:c r="E220" s="106" t="str">
        <x:v>比較</x:v>
      </x:c>
      <x:c r="F220" s="106" t="str">
        <x:v>A</x:v>
      </x:c>
      <x:c r="G220" s="106" t="str"/>
      <x:c r="H220" s="18" t="str">
        <x:v>蒸留（じょうりゅう）と蒸発の違い</x:v>
      </x:c>
      <x:c r="I220" s="18" t="str">
        <x:v>蒸発は主に溶媒（ようばい）を飛ばして残った溶質（ようしつ）を得る。蒸留（じょうりゅう）は気化した成分を冷やして再び液体として回収する。食塩水から純水を得たいなら蒸留。つながり：気化／液化／溶液</x:v>
      </x:c>
      <x:c r="J220" s="18" t="str">
        <x:v>気化／液化／溶液</x:v>
      </x:c>
    </x:row>
    <x:row r="221" ht="62" customHeight="1">
      <x:c r="A221" s="106" t="str">
        <x:v>CHE-060</x:v>
      </x:c>
      <x:c r="B221" s="106" t="str">
        <x:v>化学</x:v>
      </x:c>
      <x:c r="C221" s="106" t="str">
        <x:v>中1</x:v>
      </x:c>
      <x:c r="D221" s="106" t="str">
        <x:v>気体の発生</x:v>
      </x:c>
      <x:c r="E221" s="106" t="str">
        <x:v>実験</x:v>
      </x:c>
      <x:c r="F221" s="106" t="str">
        <x:v>A</x:v>
      </x:c>
      <x:c r="G221" s="106" t="str"/>
      <x:c r="H221" s="18" t="str">
        <x:v>酸素のつくり方</x:v>
      </x:c>
      <x:c r="I221" s="18" t="str">
        <x:v>二酸化（さんか）マンガンにうすい過酸化水素水を加えると酸素が発生する。二酸化マンガンは反応を速める触媒（しょくばい）で、反応前後でほぼ変化しない。酸素は水上置換で集める。つながり：過酸化水素／触媒／水上置換</x:v>
      </x:c>
      <x:c r="J221" s="18" t="str">
        <x:v>過酸化水素／触媒／水上置換</x:v>
      </x:c>
    </x:row>
    <x:row r="222" ht="62" customHeight="1">
      <x:c r="A222" s="106" t="str">
        <x:v>CHE-061</x:v>
      </x:c>
      <x:c r="B222" s="106" t="str">
        <x:v>化学</x:v>
      </x:c>
      <x:c r="C222" s="106" t="str">
        <x:v>中1</x:v>
      </x:c>
      <x:c r="D222" s="106" t="str">
        <x:v>気体の発生</x:v>
      </x:c>
      <x:c r="E222" s="106" t="str">
        <x:v>実験</x:v>
      </x:c>
      <x:c r="F222" s="106" t="str">
        <x:v>A</x:v>
      </x:c>
      <x:c r="G222" s="106" t="str"/>
      <x:c r="H222" s="18" t="str">
        <x:v>二酸化（さんか）炭素のつくり方</x:v>
      </x:c>
      <x:c r="I222" s="18" t="str">
        <x:v>石灰石や貝殻の主成分である炭酸カルシウムに、うすい塩酸を加える。二酸化（さんか）炭素は下方置換または水上置換で集め、石灰水で確認する。つながり：炭酸カルシウム／塩酸／石灰水</x:v>
      </x:c>
      <x:c r="J222" s="18" t="str">
        <x:v>炭酸カルシウム／塩酸／石灰水</x:v>
      </x:c>
    </x:row>
    <x:row r="223" ht="62" customHeight="1">
      <x:c r="A223" s="106" t="str">
        <x:v>CHE-062</x:v>
      </x:c>
      <x:c r="B223" s="106" t="str">
        <x:v>化学</x:v>
      </x:c>
      <x:c r="C223" s="106" t="str">
        <x:v>中1</x:v>
      </x:c>
      <x:c r="D223" s="106" t="str">
        <x:v>気体の発生</x:v>
      </x:c>
      <x:c r="E223" s="106" t="str">
        <x:v>実験</x:v>
      </x:c>
      <x:c r="F223" s="106" t="str">
        <x:v>A</x:v>
      </x:c>
      <x:c r="G223" s="106" t="str"/>
      <x:c r="H223" s="18" t="str">
        <x:v>水素のつくり方</x:v>
      </x:c>
      <x:c r="I223" s="18" t="str">
        <x:v>亜鉛（あえん）やマグネシウムなどにうすい塩酸を加えると水素が発生する。水上置換で集め、最初の気体を捨てた後、火を近づけて音を立てて燃えることで確認する。つながり：金属／塩酸／水上置換</x:v>
      </x:c>
      <x:c r="J223" s="18" t="str">
        <x:v>金属／塩酸／水上置換</x:v>
      </x:c>
    </x:row>
    <x:row r="224" ht="62" customHeight="1">
      <x:c r="A224" s="106" t="str">
        <x:v>CHE-063</x:v>
      </x:c>
      <x:c r="B224" s="106" t="str">
        <x:v>化学</x:v>
      </x:c>
      <x:c r="C224" s="106" t="str">
        <x:v>中1</x:v>
      </x:c>
      <x:c r="D224" s="106" t="str">
        <x:v>気体の発生</x:v>
      </x:c>
      <x:c r="E224" s="106" t="str">
        <x:v>実験</x:v>
      </x:c>
      <x:c r="F224" s="106" t="str">
        <x:v>B</x:v>
      </x:c>
      <x:c r="G224" s="106" t="str"/>
      <x:c r="H224" s="18" t="str">
        <x:v>アンモニアのつくり方</x:v>
      </x:c>
      <x:c r="I224" s="18" t="str">
        <x:v>塩化アンモニウムと水酸化（さんか）カルシウムを混ぜて加熱する。水に非常によく溶け空気より軽いため上方置換で集める。試験管口を下げて逆流を防ぎ、少量・十分な換気で行い直接かがない。つながり：塩化アンモニウム／アルカリ／上方置換</x:v>
      </x:c>
      <x:c r="J224" s="18" t="str">
        <x:v>塩化アンモニウム／アルカリ／上方置換</x:v>
      </x:c>
    </x:row>
    <x:row r="225" ht="62" customHeight="1">
      <x:c r="A225" s="106" t="str">
        <x:v>CHE-162</x:v>
      </x:c>
      <x:c r="B225" s="106" t="str">
        <x:v>化学</x:v>
      </x:c>
      <x:c r="C225" s="106" t="str">
        <x:v>中1</x:v>
      </x:c>
      <x:c r="D225" s="106" t="str">
        <x:v>材料</x:v>
      </x:c>
      <x:c r="E225" s="106" t="str">
        <x:v>比較</x:v>
      </x:c>
      <x:c r="F225" s="106" t="str">
        <x:v>B</x:v>
      </x:c>
      <x:c r="G225" s="106" t="str"/>
      <x:c r="H225" s="18" t="str">
        <x:v>天然物質と人工物質</x:v>
      </x:c>
      <x:c r="I225" s="18" t="str">
        <x:v>自然界から得て加工する木材・綿・金属などに対し、目的に合わせ化学的に合成した物質がある。多くのプラスチックは石油などを原料に合成され、性質を調整できる。つながり：材料／プラスチック／資源</x:v>
      </x:c>
      <x:c r="J225" s="18" t="str">
        <x:v>材料／プラスチック／資源</x:v>
      </x:c>
    </x:row>
    <x:row r="226" ht="62" customHeight="1">
      <x:c r="A226" s="106" t="str">
        <x:v>CHE-163</x:v>
      </x:c>
      <x:c r="B226" s="106" t="str">
        <x:v>化学</x:v>
      </x:c>
      <x:c r="C226" s="106" t="str">
        <x:v>中1</x:v>
      </x:c>
      <x:c r="D226" s="106" t="str">
        <x:v>材料</x:v>
      </x:c>
      <x:c r="E226" s="106" t="str">
        <x:v>比較</x:v>
      </x:c>
      <x:c r="F226" s="106" t="str">
        <x:v>B</x:v>
      </x:c>
      <x:c r="G226" s="106" t="str"/>
      <x:c r="H226" s="18" t="str">
        <x:v>プラスチックの性質と密度</x:v>
      </x:c>
      <x:c r="I226" s="18" t="str">
        <x:v>軽く成形しやすく、さびにくく、電気を通しにくいものが多いが、耐熱性などは種類で違う。気泡や添加物がない試料なら、PE・PPは水に浮き、PET・PVCは沈む。つながり：密度／ポリエチレン／PET</x:v>
      </x:c>
      <x:c r="J226" s="18" t="str">
        <x:v>密度／ポリエチレン／PET</x:v>
      </x:c>
    </x:row>
    <x:row r="227" ht="62" customHeight="1">
      <x:c r="A227" s="106" t="str">
        <x:v>CHE-164</x:v>
      </x:c>
      <x:c r="B227" s="106" t="str">
        <x:v>化学</x:v>
      </x:c>
      <x:c r="C227" s="106" t="str">
        <x:v>中1</x:v>
      </x:c>
      <x:c r="D227" s="106" t="str">
        <x:v>材料</x:v>
      </x:c>
      <x:c r="E227" s="106" t="str">
        <x:v>因果</x:v>
      </x:c>
      <x:c r="F227" s="106" t="str">
        <x:v>B</x:v>
      </x:c>
      <x:c r="G227" s="106" t="str"/>
      <x:c r="H227" s="18" t="str">
        <x:v>材料選択とプラスチックの再資源化（さいしげんか）</x:v>
      </x:c>
      <x:c r="I227" s="18" t="str">
        <x:v>強度・密度・耐熱性・導電性・価格・環境影響から用途に合う材料を選ぶ。プラスチックは種類を分別し、再使用・材料再生・化学原料化などを使い分け、流出や焼却の影響も減らす。つながり：分別／リサイクル／材料の性質</x:v>
      </x:c>
      <x:c r="J227" s="18" t="str">
        <x:v>分別／リサイクル／材料の性質</x:v>
      </x:c>
    </x:row>
    <x:row r="228" ht="62" customHeight="1">
      <x:c r="A228" s="106" t="str">
        <x:v>CHE-196</x:v>
      </x:c>
      <x:c r="B228" s="106" t="str">
        <x:v>化学</x:v>
      </x:c>
      <x:c r="C228" s="106" t="str">
        <x:v>中1</x:v>
      </x:c>
      <x:c r="D228" s="106" t="str">
        <x:v>状態変化</x:v>
      </x:c>
      <x:c r="E228" s="106" t="str">
        <x:v>比較</x:v>
      </x:c>
      <x:c r="F228" s="106" t="str">
        <x:v>A</x:v>
      </x:c>
      <x:c r="G228" s="106" t="str"/>
      <x:c r="H228" s="18" t="str">
        <x:v>融点（ゆうてん）と沸点（ふってん）</x:v>
      </x:c>
      <x:c r="I228" s="18" t="str">
        <x:v>融点（ゆうてん）は固体が液体へ変わる温度、沸点（ふってん）は液体が内部からも気体へ変わる温度。純物質では気圧が一定ならそれぞれ固有の値を示し、物質の判別に使える。つながり：融解（ゆうかい）／沸騰／純物質／加熱曲線</x:v>
      </x:c>
      <x:c r="J228" s="18" t="str">
        <x:v>融解ゆうかい&lt;／rt&gt;&lt;／ruby&gt;／沸騰／純物質／加熱曲線</x:v>
      </x:c>
    </x:row>
    <x:row r="229" ht="62" customHeight="1">
      <x:c r="A229" s="106" t="str">
        <x:v>BIO-001</x:v>
      </x:c>
      <x:c r="B229" s="106" t="str">
        <x:v>生物</x:v>
      </x:c>
      <x:c r="C229" s="106" t="str">
        <x:v>中1</x:v>
      </x:c>
      <x:c r="D229" s="106" t="str">
        <x:v>生命の共通性</x:v>
      </x:c>
      <x:c r="E229" s="106" t="str">
        <x:v>用語</x:v>
      </x:c>
      <x:c r="F229" s="106" t="str">
        <x:v>A</x:v>
      </x:c>
      <x:c r="G229" s="106" t="n">
        <x:v>44</x:v>
      </x:c>
      <x:c r="H229" s="18" t="str">
        <x:v>生物に共通する性質</x:v>
      </x:c>
      <x:c r="I229" s="18" t="str">
        <x:v>中学理科で生物として扱うものは、細胞を基本単位として体ができている。外から物質やエネルギーを取り入れ、成長し、刺激に反応するなどの生命活動を行う。生物の集団には世代をつなぐ生殖の性質があるが、個々の個体が必ず子を残すわけではない。つながり：細胞／成長／呼吸／生殖</x:v>
      </x:c>
      <x:c r="J229" s="18" t="str">
        <x:v>細胞／成長／呼吸／生殖</x:v>
      </x:c>
    </x:row>
    <x:row r="230" ht="62" customHeight="1">
      <x:c r="A230" s="106" t="str">
        <x:v>BIO-025</x:v>
      </x:c>
      <x:c r="B230" s="106" t="str">
        <x:v>生物</x:v>
      </x:c>
      <x:c r="C230" s="106" t="str">
        <x:v>中1</x:v>
      </x:c>
      <x:c r="D230" s="106" t="str">
        <x:v>動物の分類</x:v>
      </x:c>
      <x:c r="E230" s="106" t="str">
        <x:v>比較</x:v>
      </x:c>
      <x:c r="F230" s="106" t="str">
        <x:v>A</x:v>
      </x:c>
      <x:c r="G230" s="106" t="str"/>
      <x:c r="H230" s="18" t="str">
        <x:v>背骨の有無による分類</x:v>
      </x:c>
      <x:c r="I230" s="18" t="str">
        <x:v>背骨をもつ動物を脊椎動物（せきついどうぶつ）、もたない動物を無脊椎動物（むせきついどうぶつ）という。体の大小や陸上・水中という生活場所ではなく、体のつくりに基づく分類である。つながり：脊椎動物／無脊椎動物／分類／背骨</x:v>
      </x:c>
      <x:c r="J230" s="18" t="str">
        <x:v>脊椎動物／無脊椎動物／分類／背骨</x:v>
      </x:c>
    </x:row>
    <x:row r="231" ht="62" customHeight="1">
      <x:c r="A231" s="106" t="str">
        <x:v>BIO-026</x:v>
      </x:c>
      <x:c r="B231" s="106" t="str">
        <x:v>生物</x:v>
      </x:c>
      <x:c r="C231" s="106" t="str">
        <x:v>中1</x:v>
      </x:c>
      <x:c r="D231" s="106" t="str">
        <x:v>動物の分類</x:v>
      </x:c>
      <x:c r="E231" s="106" t="str">
        <x:v>用語</x:v>
      </x:c>
      <x:c r="F231" s="106" t="str">
        <x:v>A</x:v>
      </x:c>
      <x:c r="G231" s="106" t="str"/>
      <x:c r="H231" s="18" t="str">
        <x:v>脊椎動物（せきついどうぶつ）の5群</x:v>
      </x:c>
      <x:c r="I231" s="18" t="str">
        <x:v>魚類・両生類・爬虫類（はちゅうるい）・鳥類・哺乳類に分ける。呼吸器官、体表、体温、受精（じゅせい）・子の生まれ方などを組み合わせて判断する。つながり：魚類／両生類／爬虫類／鳥類／哺乳類</x:v>
      </x:c>
      <x:c r="J231" s="18" t="str">
        <x:v>魚類／両生類／爬虫類／鳥類／哺乳類</x:v>
      </x:c>
    </x:row>
    <x:row r="232" ht="62" customHeight="1">
      <x:c r="A232" s="106" t="str">
        <x:v>BIO-044</x:v>
      </x:c>
      <x:c r="B232" s="106" t="str">
        <x:v>生物</x:v>
      </x:c>
      <x:c r="C232" s="106" t="str">
        <x:v>中1</x:v>
      </x:c>
      <x:c r="D232" s="106" t="str">
        <x:v>顕微鏡</x:v>
      </x:c>
      <x:c r="E232" s="106" t="str">
        <x:v>計算</x:v>
      </x:c>
      <x:c r="F232" s="106" t="str">
        <x:v>A</x:v>
      </x:c>
      <x:c r="G232" s="106" t="str"/>
      <x:c r="H232" s="18" t="str">
        <x:v>顕微鏡（けんびきょう）の倍率</x:v>
      </x:c>
      <x:c r="I232" s="18" t="str">
        <x:v>総合倍率＝接眼レンズの倍率×対物レンズの倍率。倍率を上げると視野は狭く暗くなり、見える範囲は小さくなるが、像は大きく見える。つながり：接眼レンズ／対物レンズ／視野／倍率</x:v>
      </x:c>
      <x:c r="J232" s="18" t="str">
        <x:v>接眼レンズ／対物レンズ／視野／倍率</x:v>
      </x:c>
    </x:row>
    <x:row r="233" ht="62" customHeight="1">
      <x:c r="A233" s="106" t="str">
        <x:v>BIO-045</x:v>
      </x:c>
      <x:c r="B233" s="106" t="str">
        <x:v>生物</x:v>
      </x:c>
      <x:c r="C233" s="106" t="str">
        <x:v>中1</x:v>
      </x:c>
      <x:c r="D233" s="106" t="str">
        <x:v>顕微鏡</x:v>
      </x:c>
      <x:c r="E233" s="106" t="str">
        <x:v>実験</x:v>
      </x:c>
      <x:c r="F233" s="106" t="str">
        <x:v>A</x:v>
      </x:c>
      <x:c r="G233" s="106" t="str"/>
      <x:c r="H233" s="18" t="str">
        <x:v>顕微鏡（けんびきょう）観察の手順</x:v>
      </x:c>
      <x:c r="I233" s="18" t="str">
        <x:v>低倍率の対物レンズにし、反射（はんしゃ）鏡・しぼりで明るさを調節する。横から見て対物レンズをプレパラートに近づけ、接眼レンズをのぞきながら離してピントを合わせ、観察物を中央にしてから高倍率にする。つながり：低倍率／対物レンズ／調節ねじ／プレパラート</x:v>
      </x:c>
      <x:c r="J233" s="18" t="str">
        <x:v>低倍率／対物レンズ／調節ねじ／プレパラート</x:v>
      </x:c>
    </x:row>
    <x:row r="234" ht="62" customHeight="1">
      <x:c r="A234" s="106" t="str">
        <x:v>BIO-046</x:v>
      </x:c>
      <x:c r="B234" s="106" t="str">
        <x:v>生物</x:v>
      </x:c>
      <x:c r="C234" s="106" t="str">
        <x:v>中1</x:v>
      </x:c>
      <x:c r="D234" s="106" t="str">
        <x:v>顕微鏡</x:v>
      </x:c>
      <x:c r="E234" s="106" t="str">
        <x:v>読図</x:v>
      </x:c>
      <x:c r="F234" s="106" t="str">
        <x:v>A</x:v>
      </x:c>
      <x:c r="G234" s="106" t="n">
        <x:v>45</x:v>
      </x:c>
      <x:c r="H234" s="18" t="str">
        <x:v>顕微鏡（けんびきょう）の像とプレパラートの動かし方</x:v>
      </x:c>
      <x:c r="I234" s="18" t="str">
        <x:v>顕微鏡（けんびきょう）の像は上下左右が逆に見える。像を右へ動かしたいときはプレパラートを左へ動かす。見失わないため、先に低倍率で像を視野中央に置く。つながり：倒立像／視野／プレパラート／低倍率</x:v>
      </x:c>
      <x:c r="J234" s="18" t="str">
        <x:v>倒立像／視野／プレパラート／低倍率</x:v>
      </x:c>
    </x:row>
    <x:row r="235" ht="62" customHeight="1">
      <x:c r="A235" s="106" t="str">
        <x:v>BIO-047</x:v>
      </x:c>
      <x:c r="B235" s="106" t="str">
        <x:v>生物</x:v>
      </x:c>
      <x:c r="C235" s="106" t="str">
        <x:v>中1</x:v>
      </x:c>
      <x:c r="D235" s="106" t="str">
        <x:v>顕微鏡</x:v>
      </x:c>
      <x:c r="E235" s="106" t="str">
        <x:v>計算</x:v>
      </x:c>
      <x:c r="F235" s="106" t="str">
        <x:v>A</x:v>
      </x:c>
      <x:c r="G235" s="106" t="str"/>
      <x:c r="H235" s="18" t="str">
        <x:v>高倍率に変えたときの視野</x:v>
      </x:c>
      <x:c r="I235" s="18" t="str">
        <x:v>倍率を上げると、視野の直径・面積は小さくなり、暗くなる。視野の直径は倍率にほぼ反比例するので、倍率を2倍にすると直径は約1/2、面積は約1/4になる。つながり：倍率／視野の直径／視野の面積／明るさ</x:v>
      </x:c>
      <x:c r="J235" s="18" t="str">
        <x:v>倍率／視野の直径／視野の面積／明るさ</x:v>
      </x:c>
    </x:row>
    <x:row r="236" ht="62" customHeight="1">
      <x:c r="A236" s="106" t="str">
        <x:v>BIO-048</x:v>
      </x:c>
      <x:c r="B236" s="106" t="str">
        <x:v>生物</x:v>
      </x:c>
      <x:c r="C236" s="106" t="str">
        <x:v>中1</x:v>
      </x:c>
      <x:c r="D236" s="106" t="str">
        <x:v>顕微鏡</x:v>
      </x:c>
      <x:c r="E236" s="106" t="str">
        <x:v>実験</x:v>
      </x:c>
      <x:c r="F236" s="106" t="str">
        <x:v>B</x:v>
      </x:c>
      <x:c r="G236" s="106" t="str"/>
      <x:c r="H236" s="18" t="str">
        <x:v>プレパラートのつくり方</x:v>
      </x:c>
      <x:c r="I236" s="18" t="str">
        <x:v>観察物を薄くしてスライドガラス上の水滴に置き、カバーガラスを端から斜めにゆっくり下ろす。これは気泡が入るのを防ぐため。余分な水は吸い取り紙で除く。つながり：スライドガラス／カバーガラス／気泡／染色液</x:v>
      </x:c>
      <x:c r="J236" s="18" t="str">
        <x:v>スライドガラス／カバーガラス／気泡／染色液</x:v>
      </x:c>
    </x:row>
    <x:row r="237" ht="62" customHeight="1">
      <x:c r="A237" s="106" t="str">
        <x:v>BIO-050</x:v>
      </x:c>
      <x:c r="B237" s="106" t="str">
        <x:v>生物</x:v>
      </x:c>
      <x:c r="C237" s="106" t="str">
        <x:v>中1</x:v>
      </x:c>
      <x:c r="D237" s="106" t="str">
        <x:v>植物の分類</x:v>
      </x:c>
      <x:c r="E237" s="106" t="str">
        <x:v>用語</x:v>
      </x:c>
      <x:c r="F237" s="106" t="str">
        <x:v>A</x:v>
      </x:c>
      <x:c r="G237" s="106" t="str"/>
      <x:c r="H237" s="18" t="str">
        <x:v>種子植物</x:v>
      </x:c>
      <x:c r="I237" s="18" t="str">
        <x:v>花を咲かせ、種子でふえる植物。胚珠（はいしゅ）が子房（しぼう）の中にある被子植物（ひししょくぶつ）と、子房がなく胚珠がむき出しの裸子植物（らししょくぶつ）に分かれる。つながり：被子植物／裸子植物／胚珠／種子</x:v>
      </x:c>
      <x:c r="J237" s="18" t="str">
        <x:v>被子植物／裸子植物／胚珠／種子</x:v>
      </x:c>
    </x:row>
    <x:row r="238" ht="62" customHeight="1">
      <x:c r="A238" s="106" t="str">
        <x:v>BIO-051</x:v>
      </x:c>
      <x:c r="B238" s="106" t="str">
        <x:v>生物</x:v>
      </x:c>
      <x:c r="C238" s="106" t="str">
        <x:v>中1</x:v>
      </x:c>
      <x:c r="D238" s="106" t="str">
        <x:v>植物の分類</x:v>
      </x:c>
      <x:c r="E238" s="106" t="str">
        <x:v>比較</x:v>
      </x:c>
      <x:c r="F238" s="106" t="str">
        <x:v>A</x:v>
      </x:c>
      <x:c r="G238" s="106" t="str"/>
      <x:c r="H238" s="18" t="str">
        <x:v>被子植物（ひししょくぶつ）と裸子植物（らししょくぶつ）</x:v>
      </x:c>
      <x:c r="I238" s="18" t="str">
        <x:v>被子植物（ひししょくぶつ）は胚珠（はいしゅ）が子房（しぼう）内にあり、受精（じゅせい）後に子房が果実になる。裸子植物（らししょくぶつ）は子房がなく胚珠がむき出しで、マツ・イチョウ・ソテツなどが代表。裸子植物にも花に相当する生殖器官はある。つながり：胚珠／子房／果実／マツ</x:v>
      </x:c>
      <x:c r="J238" s="18" t="str">
        <x:v>胚珠／子房／果実／マツ</x:v>
      </x:c>
    </x:row>
    <x:row r="239" ht="62" customHeight="1">
      <x:c r="A239" s="106" t="str">
        <x:v>BIO-052</x:v>
      </x:c>
      <x:c r="B239" s="106" t="str">
        <x:v>生物</x:v>
      </x:c>
      <x:c r="C239" s="106" t="str">
        <x:v>中1</x:v>
      </x:c>
      <x:c r="D239" s="106" t="str">
        <x:v>植物の分類</x:v>
      </x:c>
      <x:c r="E239" s="106" t="str">
        <x:v>誤解対策</x:v>
      </x:c>
      <x:c r="F239" s="106" t="str">
        <x:v>A</x:v>
      </x:c>
      <x:c r="G239" s="106" t="str"/>
      <x:c r="H239" s="18" t="str">
        <x:v>マツの花と種子</x:v>
      </x:c>
      <x:c r="I239" s="18" t="str">
        <x:v>雄花の花粉が風で雌花の胚珠（はいしゅ）に届いて受粉（じゅふん）する。雌花のりん片には胚珠がむき出しでつき、子房（しぼう）がないため果実はできない。松かさは果実ではない。つながり：裸子植物（らししょくぶつ）／雄花／雌花／胚珠</x:v>
      </x:c>
      <x:c r="J239" s="18" t="str">
        <x:v>裸子植物らししょくぶつ&lt;／rt&gt;&lt;／ruby&gt;／雄花／雌花／胚珠</x:v>
      </x:c>
    </x:row>
    <x:row r="240" ht="62" customHeight="1">
      <x:c r="A240" s="106" t="str">
        <x:v>BIO-053</x:v>
      </x:c>
      <x:c r="B240" s="106" t="str">
        <x:v>生物</x:v>
      </x:c>
      <x:c r="C240" s="106" t="str">
        <x:v>中1</x:v>
      </x:c>
      <x:c r="D240" s="106" t="str">
        <x:v>植物の分類</x:v>
      </x:c>
      <x:c r="E240" s="106" t="str">
        <x:v>比較</x:v>
      </x:c>
      <x:c r="F240" s="106" t="str">
        <x:v>A</x:v>
      </x:c>
      <x:c r="G240" s="106" t="str"/>
      <x:c r="H240" s="18" t="str">
        <x:v>双子葉類（そうしようるい）と単子葉類（たんしようるい）</x:v>
      </x:c>
      <x:c r="I240" s="18" t="str">
        <x:v>被子植物（ひししょくぶつ）を子葉の数で分ける。双子葉類（そうしようるい）は子葉2枚・網状脈・主根と側根が典型、単子葉類（たんしようるい）は子葉1枚・平行脈・ひげ根が典型。茎の維管束（いかんそく）の並び方も異なる。つながり：子葉／葉脈／根／維管束</x:v>
      </x:c>
      <x:c r="J240" s="18" t="str">
        <x:v>子葉／葉脈／根／維管束</x:v>
      </x:c>
    </x:row>
    <x:row r="241" ht="62" customHeight="1">
      <x:c r="A241" s="106" t="str">
        <x:v>BIO-054</x:v>
      </x:c>
      <x:c r="B241" s="106" t="str">
        <x:v>生物</x:v>
      </x:c>
      <x:c r="C241" s="106" t="str">
        <x:v>中1</x:v>
      </x:c>
      <x:c r="D241" s="106" t="str">
        <x:v>植物の分類</x:v>
      </x:c>
      <x:c r="E241" s="106" t="str">
        <x:v>比較</x:v>
      </x:c>
      <x:c r="F241" s="106" t="str">
        <x:v>B</x:v>
      </x:c>
      <x:c r="G241" s="106" t="str"/>
      <x:c r="H241" s="18" t="str">
        <x:v>双子葉類（そうしようるい）の合弁花類（ごうべんかるい）と離弁花類（りべんかるい）</x:v>
      </x:c>
      <x:c r="I241" s="18" t="str">
        <x:v>花弁が根元までつながるものを合弁花類（タンポポ・ツツジなど）、花弁が1枚ずつ離れるものを離弁花類（アブラナ・サクラなど）という。花弁がない植物にはこの区分を直接使わない。つながり：双子葉類（そうしようるい）／合弁花類／離弁花類／花弁</x:v>
      </x:c>
      <x:c r="J241" s="18" t="str">
        <x:v>双子葉類そうしようるい&lt;／rt&gt;&lt;／ruby&gt;／合弁花類／離弁花類／花弁</x:v>
      </x:c>
    </x:row>
    <x:row r="242" ht="62" customHeight="1">
      <x:c r="A242" s="106" t="str">
        <x:v>BIO-055</x:v>
      </x:c>
      <x:c r="B242" s="106" t="str">
        <x:v>生物</x:v>
      </x:c>
      <x:c r="C242" s="106" t="str">
        <x:v>中1</x:v>
      </x:c>
      <x:c r="D242" s="106" t="str">
        <x:v>植物の分類</x:v>
      </x:c>
      <x:c r="E242" s="106" t="str">
        <x:v>用語</x:v>
      </x:c>
      <x:c r="F242" s="106" t="str">
        <x:v>A</x:v>
      </x:c>
      <x:c r="G242" s="106" t="str"/>
      <x:c r="H242" s="18" t="str">
        <x:v>シダ植物</x:v>
      </x:c>
      <x:c r="I242" s="18" t="str">
        <x:v>維管束（いかんそく）と根・茎・葉の区別があり、種子をつくらず胞子でふえる。葉の裏などに胞子のうが集まる。受精（じゅせい）には水が必要で、日陰の湿った場所に多い。つながり：胞子／維管束／胞子のう／コケ植物</x:v>
      </x:c>
      <x:c r="J242" s="18" t="str">
        <x:v>胞子／維管束／胞子のう／コケ植物</x:v>
      </x:c>
    </x:row>
    <x:row r="243" ht="62" customHeight="1">
      <x:c r="A243" s="106" t="str">
        <x:v>BIO-056</x:v>
      </x:c>
      <x:c r="B243" s="106" t="str">
        <x:v>生物</x:v>
      </x:c>
      <x:c r="C243" s="106" t="str">
        <x:v>中1</x:v>
      </x:c>
      <x:c r="D243" s="106" t="str">
        <x:v>植物の分類</x:v>
      </x:c>
      <x:c r="E243" s="106" t="str">
        <x:v>用語</x:v>
      </x:c>
      <x:c r="F243" s="106" t="str">
        <x:v>A</x:v>
      </x:c>
      <x:c r="G243" s="106" t="str"/>
      <x:c r="H243" s="18" t="str">
        <x:v>コケ植物</x:v>
      </x:c>
      <x:c r="I243" s="18" t="str">
        <x:v>種子をつくらず胞子でふえ、維管束（いかんそく）や本当の根をもたない。雌株・雄株が分かれるものが多く、体表から水を吸収するため湿った場所に多い。根のような仮根は体を固定する。つながり：胞子／仮根／維管束／シダ植物</x:v>
      </x:c>
      <x:c r="J243" s="18" t="str">
        <x:v>胞子／仮根／維管束／シダ植物</x:v>
      </x:c>
    </x:row>
    <x:row r="244" ht="62" customHeight="1">
      <x:c r="A244" s="106" t="str">
        <x:v>BIO-057</x:v>
      </x:c>
      <x:c r="B244" s="106" t="str">
        <x:v>生物</x:v>
      </x:c>
      <x:c r="C244" s="106" t="str">
        <x:v>中1</x:v>
      </x:c>
      <x:c r="D244" s="106" t="str">
        <x:v>植物の分類</x:v>
      </x:c>
      <x:c r="E244" s="106" t="str">
        <x:v>比較</x:v>
      </x:c>
      <x:c r="F244" s="106" t="str">
        <x:v>B</x:v>
      </x:c>
      <x:c r="G244" s="106" t="str"/>
      <x:c r="H244" s="18" t="str">
        <x:v>胞子と種子の違い</x:v>
      </x:c>
      <x:c r="I244" s="18" t="str">
        <x:v>胞子はふつう1個の細胞で、発芽して新しい個体につながる。種子は受精（じゅせい）後の胚珠（はいしゅ）が発達したもので、胚と養分を含み、乾燥に耐えて広がりやすい。つながり：胞子／種子／胚／受精</x:v>
      </x:c>
      <x:c r="J244" s="18" t="str">
        <x:v>胞子／種子／胚／受精</x:v>
      </x:c>
    </x:row>
    <x:row r="245" ht="62" customHeight="1">
      <x:c r="A245" s="106" t="str">
        <x:v>BIO-058</x:v>
      </x:c>
      <x:c r="B245" s="106" t="str">
        <x:v>生物</x:v>
      </x:c>
      <x:c r="C245" s="106" t="str">
        <x:v>中1</x:v>
      </x:c>
      <x:c r="D245" s="106" t="str">
        <x:v>植物の分類</x:v>
      </x:c>
      <x:c r="E245" s="106" t="str">
        <x:v>読図</x:v>
      </x:c>
      <x:c r="F245" s="106" t="str">
        <x:v>A</x:v>
      </x:c>
      <x:c r="G245" s="106" t="n">
        <x:v>46</x:v>
      </x:c>
      <x:c r="H245" s="18" t="str">
        <x:v>植物の分類手順</x:v>
      </x:c>
      <x:c r="I245" s="18" t="str">
        <x:v>まず種子をつくるかで分け、種子植物なら胚珠（はいしゅ）が子房（しぼう）内か、被子植物（ひししょくぶつ）なら子葉が1枚か2枚かを見る。種子をつくらない植物は維管束（いかんそく）の有無などでシダ植物とコケ植物を分ける。つながり：種子植物／被子植物／単子葉類（たんしようるい）／シダ植物</x:v>
      </x:c>
      <x:c r="J245" s="18" t="str">
        <x:v>種子植物／被子植物／単子葉類たんしようるい&lt;／rt&gt;&lt;／ruby&gt;／シダ植物</x:v>
      </x:c>
    </x:row>
    <x:row r="246" ht="62" customHeight="1">
      <x:c r="A246" s="106" t="str">
        <x:v>BIO-059</x:v>
      </x:c>
      <x:c r="B246" s="106" t="str">
        <x:v>生物</x:v>
      </x:c>
      <x:c r="C246" s="106" t="str">
        <x:v>中1</x:v>
      </x:c>
      <x:c r="D246" s="106" t="str">
        <x:v>動物の分類</x:v>
      </x:c>
      <x:c r="E246" s="106" t="str">
        <x:v>読図</x:v>
      </x:c>
      <x:c r="F246" s="106" t="str">
        <x:v>A</x:v>
      </x:c>
      <x:c r="G246" s="106" t="n">
        <x:v>47</x:v>
      </x:c>
      <x:c r="H246" s="18" t="str">
        <x:v>動物を分類する観点</x:v>
      </x:c>
      <x:c r="I246" s="18" t="str">
        <x:v>背骨の有無を大きな基準とし、脊椎動物（せきついどうぶつ）では呼吸器官・体表・体温・受精（じゅせい）場所・子の生まれ方を比べる。見た目や生活場所だけで決めず、複数の形質を組み合わせる。つながり：脊椎動物／無脊椎動物（むせきついどうぶつ）／形質／分類</x:v>
      </x:c>
      <x:c r="J246" s="18" t="str">
        <x:v>脊椎動物／無脊椎動物むせきついどうぶつ&lt;／rt&gt;&lt;／ruby&gt;／形質／分類</x:v>
      </x:c>
    </x:row>
    <x:row r="247" ht="62" customHeight="1">
      <x:c r="A247" s="106" t="str">
        <x:v>BIO-060</x:v>
      </x:c>
      <x:c r="B247" s="106" t="str">
        <x:v>生物</x:v>
      </x:c>
      <x:c r="C247" s="106" t="str">
        <x:v>中1</x:v>
      </x:c>
      <x:c r="D247" s="106" t="str">
        <x:v>動物の分類</x:v>
      </x:c>
      <x:c r="E247" s="106" t="str">
        <x:v>用語</x:v>
      </x:c>
      <x:c r="F247" s="106" t="str">
        <x:v>A</x:v>
      </x:c>
      <x:c r="G247" s="106" t="str"/>
      <x:c r="H247" s="18" t="str">
        <x:v>魚類の特徴</x:v>
      </x:c>
      <x:c r="I247" s="18" t="str">
        <x:v>一生を主に水中で過ごし、えらで呼吸し、ひれで泳ぐ。体表はうろこで覆われるものが多く、変温動物。多くは殻のない卵を水中に産み体外受精（じゅせい）する。つながり：えら／うろこ／変温動物／体外受精</x:v>
      </x:c>
      <x:c r="J247" s="18" t="str">
        <x:v>えら／うろこ／変温動物／体外受精</x:v>
      </x:c>
    </x:row>
    <x:row r="248" ht="62" customHeight="1">
      <x:c r="A248" s="106" t="str">
        <x:v>BIO-061</x:v>
      </x:c>
      <x:c r="B248" s="106" t="str">
        <x:v>生物</x:v>
      </x:c>
      <x:c r="C248" s="106" t="str">
        <x:v>中1</x:v>
      </x:c>
      <x:c r="D248" s="106" t="str">
        <x:v>動物の分類</x:v>
      </x:c>
      <x:c r="E248" s="106" t="str">
        <x:v>用語</x:v>
      </x:c>
      <x:c r="F248" s="106" t="str">
        <x:v>A</x:v>
      </x:c>
      <x:c r="G248" s="106" t="str"/>
      <x:c r="H248" s="18" t="str">
        <x:v>両生類の特徴</x:v>
      </x:c>
      <x:c r="I248" s="18" t="str">
        <x:v>幼生は水中でえら呼吸し、成体は肺と皮膚で呼吸する。湿った皮膚をもち変温動物で、多くは殻のない卵を水中に産み体外受精（じゅせい）する。カエルやイモリが代表。つながり：えら呼吸／肺呼吸／変態／体外受精</x:v>
      </x:c>
      <x:c r="J248" s="18" t="str">
        <x:v>えら呼吸／肺呼吸／変態／体外受精</x:v>
      </x:c>
    </x:row>
    <x:row r="249" ht="62" customHeight="1">
      <x:c r="A249" s="106" t="str">
        <x:v>BIO-062</x:v>
      </x:c>
      <x:c r="B249" s="106" t="str">
        <x:v>生物</x:v>
      </x:c>
      <x:c r="C249" s="106" t="str">
        <x:v>中1</x:v>
      </x:c>
      <x:c r="D249" s="106" t="str">
        <x:v>動物の分類</x:v>
      </x:c>
      <x:c r="E249" s="106" t="str">
        <x:v>用語</x:v>
      </x:c>
      <x:c r="F249" s="106" t="str">
        <x:v>A</x:v>
      </x:c>
      <x:c r="G249" s="106" t="str"/>
      <x:c r="H249" s="18" t="str">
        <x:v>爬虫類（はちゅうるい）の特徴</x:v>
      </x:c>
      <x:c r="I249" s="18" t="str">
        <x:v>一生を肺で呼吸し、乾燥を防ぐうろこや甲で体表が覆われた変温動物。多くは陸上に殻のある卵を産み体内受精（じゅせい）する。カメ・トカゲ・ヘビ・ワニが代表。つながり：肺呼吸／うろこ／変温動物／体内受精</x:v>
      </x:c>
      <x:c r="J249" s="18" t="str">
        <x:v>肺呼吸／うろこ／変温動物／体内受精</x:v>
      </x:c>
    </x:row>
    <x:row r="250" ht="62" customHeight="1">
      <x:c r="A250" s="106" t="str">
        <x:v>BIO-063</x:v>
      </x:c>
      <x:c r="B250" s="106" t="str">
        <x:v>生物</x:v>
      </x:c>
      <x:c r="C250" s="106" t="str">
        <x:v>中1</x:v>
      </x:c>
      <x:c r="D250" s="106" t="str">
        <x:v>動物の分類</x:v>
      </x:c>
      <x:c r="E250" s="106" t="str">
        <x:v>用語</x:v>
      </x:c>
      <x:c r="F250" s="106" t="str">
        <x:v>A</x:v>
      </x:c>
      <x:c r="G250" s="106" t="str"/>
      <x:c r="H250" s="18" t="str">
        <x:v>鳥類の特徴</x:v>
      </x:c>
      <x:c r="I250" s="18" t="str">
        <x:v>肺で呼吸し、体表は羽毛で覆われ、体温をほぼ一定に保つ恒温動物。殻のある卵を産み体内受精（じゅせい）する。飛べないペンギンやダチョウも鳥類である。つながり：羽毛／恒温動物／卵生／体内受精</x:v>
      </x:c>
      <x:c r="J250" s="18" t="str">
        <x:v>羽毛／恒温動物／卵生／体内受精</x:v>
      </x:c>
    </x:row>
    <x:row r="251" ht="62" customHeight="1">
      <x:c r="A251" s="106" t="str">
        <x:v>BIO-064</x:v>
      </x:c>
      <x:c r="B251" s="106" t="str">
        <x:v>生物</x:v>
      </x:c>
      <x:c r="C251" s="106" t="str">
        <x:v>中1</x:v>
      </x:c>
      <x:c r="D251" s="106" t="str">
        <x:v>動物の分類</x:v>
      </x:c>
      <x:c r="E251" s="106" t="str">
        <x:v>用語</x:v>
      </x:c>
      <x:c r="F251" s="106" t="str">
        <x:v>A</x:v>
      </x:c>
      <x:c r="G251" s="106" t="str"/>
      <x:c r="H251" s="18" t="str">
        <x:v>哺乳類の特徴</x:v>
      </x:c>
      <x:c r="I251" s="18" t="str">
        <x:v>肺で呼吸し、体表に毛があり、恒温動物。多くは母体内で育った子を産み、乳で育てる。カモノハシは卵生、クジラは水中生活だが哺乳類である。つながり：体毛／恒温動物／胎生／乳</x:v>
      </x:c>
      <x:c r="J251" s="18" t="str">
        <x:v>体毛／恒温動物／胎生／乳</x:v>
      </x:c>
    </x:row>
    <x:row r="252" ht="62" customHeight="1">
      <x:c r="A252" s="106" t="str">
        <x:v>BIO-065</x:v>
      </x:c>
      <x:c r="B252" s="106" t="str">
        <x:v>生物</x:v>
      </x:c>
      <x:c r="C252" s="106" t="str">
        <x:v>中1</x:v>
      </x:c>
      <x:c r="D252" s="106" t="str">
        <x:v>動物の分類</x:v>
      </x:c>
      <x:c r="E252" s="106" t="str">
        <x:v>比較</x:v>
      </x:c>
      <x:c r="F252" s="106" t="str">
        <x:v>A</x:v>
      </x:c>
      <x:c r="G252" s="106" t="str"/>
      <x:c r="H252" s="18" t="str">
        <x:v>恒温動物と変温動物</x:v>
      </x:c>
      <x:c r="I252" s="18" t="str">
        <x:v>恒温動物は外気温が変わっても体温をほぼ一定に保つ鳥類・哺乳類。変温動物は周囲の温度に伴って体温が変わりやすい魚類・両生類・爬虫類。『血が温かいか冷たいか』という分類ではない。つながり：鳥類／哺乳類／代謝／体温</x:v>
      </x:c>
      <x:c r="J252" s="18" t="str">
        <x:v>鳥類／哺乳類／代謝／体温</x:v>
      </x:c>
    </x:row>
    <x:row r="253" ht="62" customHeight="1">
      <x:c r="A253" s="106" t="str">
        <x:v>BIO-066</x:v>
      </x:c>
      <x:c r="B253" s="106" t="str">
        <x:v>生物</x:v>
      </x:c>
      <x:c r="C253" s="106" t="str">
        <x:v>中1</x:v>
      </x:c>
      <x:c r="D253" s="106" t="str">
        <x:v>動物の分類</x:v>
      </x:c>
      <x:c r="E253" s="106" t="str">
        <x:v>比較</x:v>
      </x:c>
      <x:c r="F253" s="106" t="str">
        <x:v>A</x:v>
      </x:c>
      <x:c r="G253" s="106" t="str"/>
      <x:c r="H253" s="18" t="str">
        <x:v>体外受精（じゅせい）と体内受精</x:v>
      </x:c>
      <x:c r="I253" s="18" t="str">
        <x:v>体外受精（じゅせい）は雌雄が体外へ出した卵と精子が受精し、魚類・両生類に多い。体内受精は雌の体内で受精し、爬虫類・鳥類・哺乳類に多い。産卵か胎生かとは別の観点である。つながり：受精／卵生／胎生／生殖</x:v>
      </x:c>
      <x:c r="J253" s="18" t="str">
        <x:v>受精／卵生／胎生／生殖</x:v>
      </x:c>
    </x:row>
    <x:row r="254" ht="62" customHeight="1">
      <x:c r="A254" s="106" t="str">
        <x:v>BIO-067</x:v>
      </x:c>
      <x:c r="B254" s="106" t="str">
        <x:v>生物</x:v>
      </x:c>
      <x:c r="C254" s="106" t="str">
        <x:v>中1</x:v>
      </x:c>
      <x:c r="D254" s="106" t="str">
        <x:v>動物の分類</x:v>
      </x:c>
      <x:c r="E254" s="106" t="str">
        <x:v>比較</x:v>
      </x:c>
      <x:c r="F254" s="106" t="str">
        <x:v>A</x:v>
      </x:c>
      <x:c r="G254" s="106" t="str"/>
      <x:c r="H254" s="18" t="str">
        <x:v>卵生と胎生</x:v>
      </x:c>
      <x:c r="I254" s="18" t="str">
        <x:v>卵生は母体外に産まれた卵の中で発生し、胎生は母体内である程度育ってから子として生まれる。受精（じゅせい）場所とは別で、鳥類は体内受精だが卵生、哺乳類の多くは体内受精で胎生。つながり：体内受精／発生／鳥類／哺乳類</x:v>
      </x:c>
      <x:c r="J254" s="18" t="str">
        <x:v>体内受精／発生／鳥類／哺乳類</x:v>
      </x:c>
    </x:row>
    <x:row r="255" ht="62" customHeight="1">
      <x:c r="A255" s="106" t="str">
        <x:v>BIO-068</x:v>
      </x:c>
      <x:c r="B255" s="106" t="str">
        <x:v>生物</x:v>
      </x:c>
      <x:c r="C255" s="106" t="str">
        <x:v>中1</x:v>
      </x:c>
      <x:c r="D255" s="106" t="str">
        <x:v>動物の分類</x:v>
      </x:c>
      <x:c r="E255" s="106" t="str">
        <x:v>誤解対策</x:v>
      </x:c>
      <x:c r="F255" s="106" t="str">
        <x:v>A</x:v>
      </x:c>
      <x:c r="G255" s="106" t="str"/>
      <x:c r="H255" s="18" t="str">
        <x:v>水中生活だけでは分類できない理由</x:v>
      </x:c>
      <x:c r="I255" s="18" t="str">
        <x:v>クジラは肺呼吸・恒温・胎生・授乳をするので哺乳類、ペンギンは羽毛と殻のある卵をもつ鳥類。生活場所ではなく、体のつくりや生殖の特徴で分類する。つながり：クジラ／ペンギン／形質／脊椎動物（せきついどうぶつ）</x:v>
      </x:c>
      <x:c r="J255" s="18" t="str">
        <x:v>クジラ／ペンギン／形質／脊椎動物せきついどうぶつ&lt;／rt&gt;&lt;／ruby&gt;</x:v>
      </x:c>
    </x:row>
    <x:row r="256" ht="62" customHeight="1">
      <x:c r="A256" s="106" t="str">
        <x:v>BIO-069</x:v>
      </x:c>
      <x:c r="B256" s="106" t="str">
        <x:v>生物</x:v>
      </x:c>
      <x:c r="C256" s="106" t="str">
        <x:v>中1</x:v>
      </x:c>
      <x:c r="D256" s="106" t="str">
        <x:v>無脊椎動物</x:v>
      </x:c>
      <x:c r="E256" s="106" t="str">
        <x:v>用語</x:v>
      </x:c>
      <x:c r="F256" s="106" t="str">
        <x:v>A</x:v>
      </x:c>
      <x:c r="G256" s="106" t="str"/>
      <x:c r="H256" s="18" t="str">
        <x:v>節足動物（せっそくどうぶつ）</x:v>
      </x:c>
      <x:c r="I256" s="18" t="str">
        <x:v>外骨格と節のある脚をもち、成長時に脱皮する無脊椎動物（むせきついどうぶつ）。昆虫類・甲殻類・クモ類・多足類などを含む。体が節に分かれることも特徴。つながり：外骨格／脱皮／昆虫類／甲殻類</x:v>
      </x:c>
      <x:c r="J256" s="18" t="str">
        <x:v>外骨格／脱皮／昆虫類／甲殻類</x:v>
      </x:c>
    </x:row>
    <x:row r="257" ht="62" customHeight="1">
      <x:c r="A257" s="106" t="str">
        <x:v>BIO-070</x:v>
      </x:c>
      <x:c r="B257" s="106" t="str">
        <x:v>生物</x:v>
      </x:c>
      <x:c r="C257" s="106" t="str">
        <x:v>中1</x:v>
      </x:c>
      <x:c r="D257" s="106" t="str">
        <x:v>無脊椎動物</x:v>
      </x:c>
      <x:c r="E257" s="106" t="str">
        <x:v>因果</x:v>
      </x:c>
      <x:c r="F257" s="106" t="str">
        <x:v>B</x:v>
      </x:c>
      <x:c r="G257" s="106" t="str"/>
      <x:c r="H257" s="18" t="str">
        <x:v>外骨格（がいこっかく）</x:v>
      </x:c>
      <x:c r="I257" s="18" t="str">
        <x:v>節足動物（せっそくどうぶつ）の体の外側を覆い、体を支え内部を守る硬い構造。体と一緒には大きくならないため、古い外骨格を脱ぐ脱皮をして成長する。つながり：節足動物／脱皮／昆虫／甲殻類</x:v>
      </x:c>
      <x:c r="J257" s="18" t="str">
        <x:v>節足動物／脱皮／昆虫／甲殻類</x:v>
      </x:c>
    </x:row>
    <x:row r="258" ht="62" customHeight="1">
      <x:c r="A258" s="106" t="str">
        <x:v>BIO-071</x:v>
      </x:c>
      <x:c r="B258" s="106" t="str">
        <x:v>生物</x:v>
      </x:c>
      <x:c r="C258" s="106" t="str">
        <x:v>中1</x:v>
      </x:c>
      <x:c r="D258" s="106" t="str">
        <x:v>無脊椎動物</x:v>
      </x:c>
      <x:c r="E258" s="106" t="str">
        <x:v>比較</x:v>
      </x:c>
      <x:c r="F258" s="106" t="str">
        <x:v>A</x:v>
      </x:c>
      <x:c r="G258" s="106" t="str"/>
      <x:c r="H258" s="18" t="str">
        <x:v>昆虫類・クモ類・甲殻類の見分け方</x:v>
      </x:c>
      <x:c r="I258" s="18" t="str">
        <x:v>昆虫類は頭・胸・腹と脚3対、クモ類は頭胸部・腹部と脚4対、甲殻類は多くがえら呼吸し脚が5対以上のものが多い。脚の数と体の区分を確認する。つながり：昆虫類／クモ類／甲殻類／節足動物（せっそくどうぶつ）</x:v>
      </x:c>
      <x:c r="J258" s="18" t="str">
        <x:v>昆虫類／クモ類／甲殻類／節足動物せっそくどうぶつ&lt;／rt&gt;&lt;／ruby&gt;</x:v>
      </x:c>
    </x:row>
    <x:row r="259" ht="62" customHeight="1">
      <x:c r="A259" s="106" t="str">
        <x:v>BIO-072</x:v>
      </x:c>
      <x:c r="B259" s="106" t="str">
        <x:v>生物</x:v>
      </x:c>
      <x:c r="C259" s="106" t="str">
        <x:v>中1</x:v>
      </x:c>
      <x:c r="D259" s="106" t="str">
        <x:v>無脊椎動物</x:v>
      </x:c>
      <x:c r="E259" s="106" t="str">
        <x:v>用語</x:v>
      </x:c>
      <x:c r="F259" s="106" t="str">
        <x:v>A</x:v>
      </x:c>
      <x:c r="G259" s="106" t="str"/>
      <x:c r="H259" s="18" t="str">
        <x:v>軟体動物（なんたいどうぶつ）</x:v>
      </x:c>
      <x:c r="I259" s="18" t="str">
        <x:v>内臓が外とう膜で包まれ、節のある脚や外骨格をもたない無脊椎動物（むせきついどうぶつ）。イカ・タコ・アサリ・マイマイなど。アサリはえら、マイマイは肺に似た器官で呼吸する。つながり：外とう膜／イカ／アサリ／無脊椎動物</x:v>
      </x:c>
      <x:c r="J259" s="18" t="str">
        <x:v>外とう膜／イカ／アサリ／無脊椎動物</x:v>
      </x:c>
    </x:row>
    <x:row r="260" ht="62" customHeight="1">
      <x:c r="A260" s="106" t="str">
        <x:v>BIO-073</x:v>
      </x:c>
      <x:c r="B260" s="106" t="str">
        <x:v>生物</x:v>
      </x:c>
      <x:c r="C260" s="106" t="str">
        <x:v>中1</x:v>
      </x:c>
      <x:c r="D260" s="106" t="str">
        <x:v>無脊椎動物</x:v>
      </x:c>
      <x:c r="E260" s="106" t="str">
        <x:v>比較</x:v>
      </x:c>
      <x:c r="F260" s="106" t="str">
        <x:v>A</x:v>
      </x:c>
      <x:c r="G260" s="106" t="str"/>
      <x:c r="H260" s="18" t="str">
        <x:v>節足動物（せっそくどうぶつ）と軟体動物（なんたいどうぶつ）の違い</x:v>
      </x:c>
      <x:c r="I260" s="18" t="str">
        <x:v>節足動物（せっそくどうぶつ）は外骨格と節のある脚をもち、軟体動物（なんたいどうぶつ）はやわらかい体で内臓が外とう膜に包まれる。カニは節足動物、イカや貝は軟体動物である。殻の有無だけでは判断しない。つながり：外骨格／外とう膜／脱皮／無脊椎動物（むせきついどうぶつ）</x:v>
      </x:c>
      <x:c r="J260" s="18" t="str">
        <x:v>外骨格／外とう膜／脱皮／無脊椎動物むせきついどうぶつ&lt;／rt&gt;&lt;／ruby&gt;</x:v>
      </x:c>
    </x:row>
    <x:row r="261" ht="62" customHeight="1">
      <x:c r="A261" s="106" t="str">
        <x:v>EAR-025</x:v>
      </x:c>
      <x:c r="B261" s="106" t="str">
        <x:v>地学</x:v>
      </x:c>
      <x:c r="C261" s="106" t="str">
        <x:v>中1</x:v>
      </x:c>
      <x:c r="D261" s="106" t="str">
        <x:v>地球内部</x:v>
      </x:c>
      <x:c r="E261" s="106" t="str">
        <x:v>用語</x:v>
      </x:c>
      <x:c r="F261" s="106" t="str">
        <x:v>C</x:v>
      </x:c>
      <x:c r="G261" s="106" t="str"/>
      <x:c r="H261" s="18" t="str">
        <x:v>地球の層構造</x:v>
      </x:c>
      <x:c r="I261" s="18" t="str">
        <x:v>外側から地殻・マントル・核に分かれる。地殻は薄く、マントルは固体だが長時間ではゆっくり流動する。核は鉄・ニッケルを主成分とし、外核は液体、内核は固体。つながり：地殻／マントル／外核／内核</x:v>
      </x:c>
      <x:c r="J261" s="18" t="str">
        <x:v>地殻／マントル／外核／内核</x:v>
      </x:c>
    </x:row>
    <x:row r="262" ht="62" customHeight="1">
      <x:c r="A262" s="106" t="str">
        <x:v>EAR-026</x:v>
      </x:c>
      <x:c r="B262" s="106" t="str">
        <x:v>地学</x:v>
      </x:c>
      <x:c r="C262" s="106" t="str">
        <x:v>中1</x:v>
      </x:c>
      <x:c r="D262" s="106" t="str">
        <x:v>プレート</x:v>
      </x:c>
      <x:c r="E262" s="106" t="str">
        <x:v>用語</x:v>
      </x:c>
      <x:c r="F262" s="106" t="str">
        <x:v>A</x:v>
      </x:c>
      <x:c r="G262" s="106" t="n">
        <x:v>48</x:v>
      </x:c>
      <x:c r="H262" s="18" t="str">
        <x:v>プレート</x:v>
      </x:c>
      <x:c r="I262" s="18" t="str">
        <x:v>地殻と上部マントルの一部からなる硬い板状の部分。地球表面を覆い、年数cm程度で動く。境界では地震や火山活動が多い。大陸そのものだけを指す語ではない。つながり：プレート境界／地震／火山／マントル</x:v>
      </x:c>
      <x:c r="J262" s="18" t="str">
        <x:v>プレート境界／地震／火山／マントル</x:v>
      </x:c>
    </x:row>
    <x:row r="263" ht="62" customHeight="1">
      <x:c r="A263" s="106" t="str">
        <x:v>EAR-027</x:v>
      </x:c>
      <x:c r="B263" s="106" t="str">
        <x:v>地学</x:v>
      </x:c>
      <x:c r="C263" s="106" t="str">
        <x:v>中1</x:v>
      </x:c>
      <x:c r="D263" s="106" t="str">
        <x:v>プレート</x:v>
      </x:c>
      <x:c r="E263" s="106" t="str">
        <x:v>因果</x:v>
      </x:c>
      <x:c r="F263" s="106" t="str">
        <x:v>A</x:v>
      </x:c>
      <x:c r="G263" s="106" t="n">
        <x:v>49</x:v>
      </x:c>
      <x:c r="H263" s="18" t="str">
        <x:v>海洋プレートの沈み込み</x:v>
      </x:c>
      <x:c r="I263" s="18" t="str">
        <x:v>密度の大きい海洋プレートが大陸側のプレートの下へ沈み込み、海溝をつくる。境界の固着と急なずれで地震が起こり、深部で生じたマグマが火山活動につながる。つながり：海溝／震源（しんげん）／マグマ／プレート境界</x:v>
      </x:c>
      <x:c r="J263" s="18" t="str">
        <x:v>海溝／震源しんげん&lt;／rt&gt;&lt;／ruby&gt;／マグマ／プレート境界</x:v>
      </x:c>
    </x:row>
    <x:row r="264" ht="62" customHeight="1">
      <x:c r="A264" s="106" t="str">
        <x:v>EAR-028</x:v>
      </x:c>
      <x:c r="B264" s="106" t="str">
        <x:v>地学</x:v>
      </x:c>
      <x:c r="C264" s="106" t="str">
        <x:v>中1</x:v>
      </x:c>
      <x:c r="D264" s="106" t="str">
        <x:v>火山</x:v>
      </x:c>
      <x:c r="E264" s="106" t="str">
        <x:v>比較</x:v>
      </x:c>
      <x:c r="F264" s="106" t="str">
        <x:v>A</x:v>
      </x:c>
      <x:c r="G264" s="106" t="str"/>
      <x:c r="H264" s="18" t="str">
        <x:v>マグマ</x:v>
      </x:c>
      <x:c r="I264" s="18" t="str">
        <x:v>地下の岩石が高温で部分的に溶けた物質で、結晶や火山ガスを含む。マグマが地表へ噴出したものを溶岩といい、通常は地下にあったときより火山ガスが抜けている。つながり：溶岩／火山ガス／火成岩（かせいがん）／マグマだまり</x:v>
      </x:c>
      <x:c r="J264" s="18" t="str">
        <x:v>溶岩／火山ガス／火成岩かせいがん&lt;／rt&gt;&lt;／ruby&gt;／マグマだまり</x:v>
      </x:c>
    </x:row>
    <x:row r="265" ht="62" customHeight="1">
      <x:c r="A265" s="106" t="str">
        <x:v>EAR-029</x:v>
      </x:c>
      <x:c r="B265" s="106" t="str">
        <x:v>地学</x:v>
      </x:c>
      <x:c r="C265" s="106" t="str">
        <x:v>中1</x:v>
      </x:c>
      <x:c r="D265" s="106" t="str">
        <x:v>火山</x:v>
      </x:c>
      <x:c r="E265" s="106" t="str">
        <x:v>用語</x:v>
      </x:c>
      <x:c r="F265" s="106" t="str">
        <x:v>A</x:v>
      </x:c>
      <x:c r="G265" s="106" t="str"/>
      <x:c r="H265" s="18" t="str">
        <x:v>噴火で出るもの</x:v>
      </x:c>
      <x:c r="I265" s="18" t="str">
        <x:v>溶岩、火山灰、火山弾・火山れきなどの火山砕屑物、火山ガスが放出される。高温の火山ガスと破片が高速で流れる火砕流は、溶岩流とは異なる。つながり：溶岩／火山灰／火山弾／火砕流</x:v>
      </x:c>
      <x:c r="J265" s="18" t="str">
        <x:v>溶岩／火山灰／火山弾／火砕流</x:v>
      </x:c>
    </x:row>
    <x:row r="266" ht="62" customHeight="1">
      <x:c r="A266" s="106" t="str">
        <x:v>EAR-030</x:v>
      </x:c>
      <x:c r="B266" s="106" t="str">
        <x:v>地学</x:v>
      </x:c>
      <x:c r="C266" s="106" t="str">
        <x:v>中1</x:v>
      </x:c>
      <x:c r="D266" s="106" t="str">
        <x:v>火山</x:v>
      </x:c>
      <x:c r="E266" s="106" t="str">
        <x:v>因果</x:v>
      </x:c>
      <x:c r="F266" s="106" t="str">
        <x:v>A</x:v>
      </x:c>
      <x:c r="G266" s="106" t="n">
        <x:v>50</x:v>
      </x:c>
      <x:c r="H266" s="18" t="str">
        <x:v>マグマのねばりけと噴火</x:v>
      </x:c>
      <x:c r="I266" s="18" t="str">
        <x:v>ねばりけが小さい玄武岩質マグマはガスが抜けやすく比較的穏やかで、溶岩が広がりやすい。ねばりけが大きい流紋岩質マグマはガス圧が高まり爆発的噴火になりやすい。つながり：玄武岩質／流紋岩質／火山ガス／噴火</x:v>
      </x:c>
      <x:c r="J266" s="18" t="str">
        <x:v>玄武岩質／流紋岩質／火山ガス／噴火</x:v>
      </x:c>
    </x:row>
    <x:row r="267" ht="62" customHeight="1">
      <x:c r="A267" s="106" t="str">
        <x:v>EAR-031</x:v>
      </x:c>
      <x:c r="B267" s="106" t="str">
        <x:v>地学</x:v>
      </x:c>
      <x:c r="C267" s="106" t="str">
        <x:v>中1</x:v>
      </x:c>
      <x:c r="D267" s="106" t="str">
        <x:v>火山</x:v>
      </x:c>
      <x:c r="E267" s="106" t="str">
        <x:v>比較</x:v>
      </x:c>
      <x:c r="F267" s="106" t="str">
        <x:v>A</x:v>
      </x:c>
      <x:c r="G267" s="106" t="str"/>
      <x:c r="H267" s="18" t="str">
        <x:v>火山の形とマグマ</x:v>
      </x:c>
      <x:c r="I267" s="18" t="str">
        <x:v>ねばりけが小さいと溶岩が遠くまで流れ、傾斜の緩やかな火山になりやすい。中程度では円すい形、非常に大きいと盛り上がった溶岩ドームになりやすい。形だけで断定せず噴出物も見る。つながり：盾状火山／成層火山／溶岩ドーム／粘性</x:v>
      </x:c>
      <x:c r="J267" s="18" t="str">
        <x:v>盾状火山／成層火山／溶岩ドーム／粘性</x:v>
      </x:c>
    </x:row>
    <x:row r="268" ht="62" customHeight="1">
      <x:c r="A268" s="106" t="str">
        <x:v>EAR-032</x:v>
      </x:c>
      <x:c r="B268" s="106" t="str">
        <x:v>地学</x:v>
      </x:c>
      <x:c r="C268" s="106" t="str">
        <x:v>中1</x:v>
      </x:c>
      <x:c r="D268" s="106" t="str">
        <x:v>火山</x:v>
      </x:c>
      <x:c r="E268" s="106" t="str">
        <x:v>実験</x:v>
      </x:c>
      <x:c r="F268" s="106" t="str">
        <x:v>B</x:v>
      </x:c>
      <x:c r="G268" s="106" t="str"/>
      <x:c r="H268" s="18" t="str">
        <x:v>火山灰の観察方法</x:v>
      </x:c>
      <x:c r="I268" s="18" t="str">
        <x:v>火山灰は微粒子なので、湿らせて飛散を抑え、保護眼鏡・マスクを着けて目をこすらない。水で洗って泥を除き、乾燥後に双眼実体顕微鏡（けんびきょう）などで観察し、色・形・割れ方から鉱物（こうぶつ）や給源火山を比べる。つながり：鉱物／双眼実体顕微鏡／火山灰層／マグマ</x:v>
      </x:c>
      <x:c r="J268" s="18" t="str">
        <x:v>鉱物／双眼実体顕微鏡／火山灰層／マグマ</x:v>
      </x:c>
    </x:row>
    <x:row r="269" ht="62" customHeight="1">
      <x:c r="A269" s="106" t="str">
        <x:v>EAR-033</x:v>
      </x:c>
      <x:c r="B269" s="106" t="str">
        <x:v>地学</x:v>
      </x:c>
      <x:c r="C269" s="106" t="str">
        <x:v>中1</x:v>
      </x:c>
      <x:c r="D269" s="106" t="str">
        <x:v>鉱物</x:v>
      </x:c>
      <x:c r="E269" s="106" t="str">
        <x:v>用語</x:v>
      </x:c>
      <x:c r="F269" s="106" t="str">
        <x:v>A</x:v>
      </x:c>
      <x:c r="G269" s="106" t="str"/>
      <x:c r="H269" s="18" t="str">
        <x:v>鉱物（こうぶつ）</x:v>
      </x:c>
      <x:c r="I269" s="18" t="str">
        <x:v>天然にできた、ほぼ一定の化学組成と結晶構造をもつ固体。岩石をつくる粒の一つ一つである。岩石は複数種類の鉱物（こうぶつ）やガラス質からなることが多い。つながり：結晶／岩石／石英／長石</x:v>
      </x:c>
      <x:c r="J269" s="18" t="str">
        <x:v>結晶／岩石／石英／長石</x:v>
      </x:c>
    </x:row>
    <x:row r="270" ht="62" customHeight="1">
      <x:c r="A270" s="106" t="str">
        <x:v>EAR-034</x:v>
      </x:c>
      <x:c r="B270" s="106" t="str">
        <x:v>地学</x:v>
      </x:c>
      <x:c r="C270" s="106" t="str">
        <x:v>中1</x:v>
      </x:c>
      <x:c r="D270" s="106" t="str">
        <x:v>鉱物</x:v>
      </x:c>
      <x:c r="E270" s="106" t="str">
        <x:v>比較</x:v>
      </x:c>
      <x:c r="F270" s="106" t="str">
        <x:v>B</x:v>
      </x:c>
      <x:c r="G270" s="106" t="str"/>
      <x:c r="H270" s="18" t="str">
        <x:v>無色鉱物（こうぶつ）と有色鉱物</x:v>
      </x:c>
      <x:c r="I270" s="18" t="str">
        <x:v>石英・長石など白色〜無色で鉄やマグネシウムが少ないものを無色鉱物（こうぶつ）、黒雲母・角閃石・輝石・カンラン石など色が濃いものを有色鉱物という。割合は岩石の色に関係する。つながり：石英／長石／黒雲母／輝石</x:v>
      </x:c>
      <x:c r="J270" s="18" t="str">
        <x:v>石英／長石／黒雲母／輝石</x:v>
      </x:c>
    </x:row>
    <x:row r="271" ht="62" customHeight="1">
      <x:c r="A271" s="106" t="str">
        <x:v>EAR-035</x:v>
      </x:c>
      <x:c r="B271" s="106" t="str">
        <x:v>地学</x:v>
      </x:c>
      <x:c r="C271" s="106" t="str">
        <x:v>中1</x:v>
      </x:c>
      <x:c r="D271" s="106" t="str">
        <x:v>鉱物</x:v>
      </x:c>
      <x:c r="E271" s="106" t="str">
        <x:v>比較</x:v>
      </x:c>
      <x:c r="F271" s="106" t="str">
        <x:v>B</x:v>
      </x:c>
      <x:c r="G271" s="106" t="str"/>
      <x:c r="H271" s="18" t="str">
        <x:v>石英と長石の見分け</x:v>
      </x:c>
      <x:c r="I271" s="18" t="str">
        <x:v>石英は無色〜白色で不規則に割れ、ガラスのような光沢。長石は白色〜桃色で、決まった方向に割れやすい。色だけでなく割れ方・光沢も合わせて判断する。つながり：石英／長石／へき開／無色鉱物（こうぶつ）</x:v>
      </x:c>
      <x:c r="J271" s="18" t="str">
        <x:v>石英／長石／へき開／無色鉱物こうぶつ&lt;／rt&gt;&lt;／ruby&gt;</x:v>
      </x:c>
    </x:row>
    <x:row r="272" ht="62" customHeight="1">
      <x:c r="A272" s="106" t="str">
        <x:v>EAR-036</x:v>
      </x:c>
      <x:c r="B272" s="106" t="str">
        <x:v>地学</x:v>
      </x:c>
      <x:c r="C272" s="106" t="str">
        <x:v>中1</x:v>
      </x:c>
      <x:c r="D272" s="106" t="str">
        <x:v>鉱物</x:v>
      </x:c>
      <x:c r="E272" s="106" t="str">
        <x:v>比較</x:v>
      </x:c>
      <x:c r="F272" s="106" t="str">
        <x:v>B</x:v>
      </x:c>
      <x:c r="G272" s="106" t="str"/>
      <x:c r="H272" s="18" t="str">
        <x:v>主な有色鉱物（こうぶつ）</x:v>
      </x:c>
      <x:c r="I272" s="18" t="str">
        <x:v>黒雲母は黒く薄くはがれ、角閃石は黒〜濃緑で細長い柱状、輝石は暗緑〜黒で短い柱状、カンラン石は黄緑色の粒状。形と色を組み合わせて識別する。つながり：黒雲母／角閃石／輝石／カンラン石</x:v>
      </x:c>
      <x:c r="J272" s="18" t="str">
        <x:v>黒雲母／角閃石／輝石／カンラン石</x:v>
      </x:c>
    </x:row>
    <x:row r="273" ht="62" customHeight="1">
      <x:c r="A273" s="106" t="str">
        <x:v>EAR-037</x:v>
      </x:c>
      <x:c r="B273" s="106" t="str">
        <x:v>地学</x:v>
      </x:c>
      <x:c r="C273" s="106" t="str">
        <x:v>中1</x:v>
      </x:c>
      <x:c r="D273" s="106" t="str">
        <x:v>火成岩</x:v>
      </x:c>
      <x:c r="E273" s="106" t="str">
        <x:v>用語</x:v>
      </x:c>
      <x:c r="F273" s="106" t="str">
        <x:v>A</x:v>
      </x:c>
      <x:c r="G273" s="106" t="str"/>
      <x:c r="H273" s="18" t="str">
        <x:v>火成岩（かせいがん）</x:v>
      </x:c>
      <x:c r="I273" s="18" t="str">
        <x:v>マグマが冷えて固まった岩石。地表付近で急に冷えた火山岩（かざんがん）と、地下深くでゆっくり冷えた深成岩（しんせいがん）に分かれる。冷える速さが結晶の大きさと組織を決める。つながり：火山岩／深成岩／マグマ／結晶</x:v>
      </x:c>
      <x:c r="J273" s="18" t="str">
        <x:v>火山岩／深成岩／マグマ／結晶</x:v>
      </x:c>
    </x:row>
    <x:row r="274" ht="62" customHeight="1">
      <x:c r="A274" s="106" t="str">
        <x:v>EAR-038</x:v>
      </x:c>
      <x:c r="B274" s="106" t="str">
        <x:v>地学</x:v>
      </x:c>
      <x:c r="C274" s="106" t="str">
        <x:v>中1</x:v>
      </x:c>
      <x:c r="D274" s="106" t="str">
        <x:v>火成岩</x:v>
      </x:c>
      <x:c r="E274" s="106" t="str">
        <x:v>用語</x:v>
      </x:c>
      <x:c r="F274" s="106" t="str">
        <x:v>A</x:v>
      </x:c>
      <x:c r="G274" s="106" t="str"/>
      <x:c r="H274" s="18" t="str">
        <x:v>斑状組織（はんじょうそしき）</x:v>
      </x:c>
      <x:c r="I274" s="18" t="str">
        <x:v>大きな結晶の斑晶が、細かな結晶やガラス質の石基に囲まれる組織。マグマが地下で一部結晶化した後、地表付近で急冷した火山岩（かざんがん）に典型的。つながり：斑晶／石基／火山岩／急冷</x:v>
      </x:c>
      <x:c r="J274" s="18" t="str">
        <x:v>斑晶／石基／火山岩／急冷</x:v>
      </x:c>
    </x:row>
    <x:row r="275" ht="62" customHeight="1">
      <x:c r="A275" s="106" t="str">
        <x:v>EAR-039</x:v>
      </x:c>
      <x:c r="B275" s="106" t="str">
        <x:v>地学</x:v>
      </x:c>
      <x:c r="C275" s="106" t="str">
        <x:v>中1</x:v>
      </x:c>
      <x:c r="D275" s="106" t="str">
        <x:v>火成岩</x:v>
      </x:c>
      <x:c r="E275" s="106" t="str">
        <x:v>用語</x:v>
      </x:c>
      <x:c r="F275" s="106" t="str">
        <x:v>A</x:v>
      </x:c>
      <x:c r="G275" s="106" t="str"/>
      <x:c r="H275" s="18" t="str">
        <x:v>等粒状組織（とうりゅうじょうそしき）</x:v>
      </x:c>
      <x:c r="I275" s="18" t="str">
        <x:v>ほぼ同じ大きさの結晶が組み合わさった組織。地下深くでマグマ全体がゆっくり冷え、結晶が成長した深成岩（しんせいがん）に典型的。肉眼で鉱物（こうぶつ）を見分けやすい。つながり：結晶／深成岩／徐冷／花こう岩</x:v>
      </x:c>
      <x:c r="J275" s="18" t="str">
        <x:v>結晶／深成岩／徐冷／花こう岩</x:v>
      </x:c>
    </x:row>
    <x:row r="276" ht="62" customHeight="1">
      <x:c r="A276" s="106" t="str">
        <x:v>EAR-040</x:v>
      </x:c>
      <x:c r="B276" s="106" t="str">
        <x:v>地学</x:v>
      </x:c>
      <x:c r="C276" s="106" t="str">
        <x:v>中1</x:v>
      </x:c>
      <x:c r="D276" s="106" t="str">
        <x:v>火成岩</x:v>
      </x:c>
      <x:c r="E276" s="106" t="str">
        <x:v>比較</x:v>
      </x:c>
      <x:c r="F276" s="106" t="str">
        <x:v>A</x:v>
      </x:c>
      <x:c r="G276" s="106" t="n">
        <x:v>51</x:v>
      </x:c>
      <x:c r="H276" s="18" t="str">
        <x:v>火山岩（かざんがん）と深成岩（しんせいがん）の対応</x:v>
      </x:c>
      <x:c r="I276" s="18" t="str">
        <x:v>白っぽい順に、火山岩（かざんがん）は流紋岩・安山岩・玄武岩、対応する深成岩（しんせいがん）は花こう岩・閃緑岩（せんりょくがん）・斑れい岩（はんれいがん）。同じ列ほど鉱物（こうぶつ）組成が似る。つながり：流紋岩／安山岩／玄武岩／花こう岩</x:v>
      </x:c>
      <x:c r="J276" s="18" t="str">
        <x:v>流紋岩／安山岩／玄武岩／花こう岩</x:v>
      </x:c>
    </x:row>
    <x:row r="277" ht="62" customHeight="1">
      <x:c r="A277" s="106" t="str">
        <x:v>EAR-041</x:v>
      </x:c>
      <x:c r="B277" s="106" t="str">
        <x:v>地学</x:v>
      </x:c>
      <x:c r="C277" s="106" t="str">
        <x:v>中1</x:v>
      </x:c>
      <x:c r="D277" s="106" t="str">
        <x:v>火成岩</x:v>
      </x:c>
      <x:c r="E277" s="106" t="str">
        <x:v>比較</x:v>
      </x:c>
      <x:c r="F277" s="106" t="str">
        <x:v>A</x:v>
      </x:c>
      <x:c r="G277" s="106" t="str"/>
      <x:c r="H277" s="18" t="str">
        <x:v>火成岩（かせいがん）の色と密度</x:v>
      </x:c>
      <x:c r="I277" s="18" t="str">
        <x:v>無色鉱物（こうぶつ）が多い流紋岩・花こう岩は白っぽく比較的密度が小さい。有色鉱物が多い玄武岩・斑れい岩は黒っぽく比較的密度が大きい。中間が安山岩・閃緑岩。つながり：無色鉱物／有色鉱物／密度／鉱物組成</x:v>
      </x:c>
      <x:c r="J277" s="18" t="str">
        <x:v>無色鉱物／有色鉱物／密度／鉱物組成</x:v>
      </x:c>
    </x:row>
    <x:row r="278" ht="62" customHeight="1">
      <x:c r="A278" s="106" t="str">
        <x:v>EAR-042</x:v>
      </x:c>
      <x:c r="B278" s="106" t="str">
        <x:v>地学</x:v>
      </x:c>
      <x:c r="C278" s="106" t="str">
        <x:v>中1</x:v>
      </x:c>
      <x:c r="D278" s="106" t="str">
        <x:v>火成岩</x:v>
      </x:c>
      <x:c r="E278" s="106" t="str">
        <x:v>因果</x:v>
      </x:c>
      <x:c r="F278" s="106" t="str">
        <x:v>A</x:v>
      </x:c>
      <x:c r="G278" s="106" t="str"/>
      <x:c r="H278" s="18" t="str">
        <x:v>冷却速度と結晶の大きさ</x:v>
      </x:c>
      <x:c r="I278" s="18" t="str">
        <x:v>ゆっくり冷えると原子が規則正しく並ぶ時間があり結晶が大きくなる。急に冷えると結晶が小さいかガラス質になる。大きい結晶ほど高温だった、とは限らない。つながり：深成岩（しんせいがん）／火山岩（かざんがん）／結晶／冷却速度</x:v>
      </x:c>
      <x:c r="J278" s="18" t="str">
        <x:v>深成岩しんせいがん&lt;／rt&gt;&lt;／ruby&gt;／火山岩かざんがん&lt;／rt&gt;&lt;／ruby&gt;／結晶／冷却速度</x:v>
      </x:c>
    </x:row>
    <x:row r="279" ht="62" customHeight="1">
      <x:c r="A279" s="106" t="str">
        <x:v>EAR-043</x:v>
      </x:c>
      <x:c r="B279" s="106" t="str">
        <x:v>地学</x:v>
      </x:c>
      <x:c r="C279" s="106" t="str">
        <x:v>中1</x:v>
      </x:c>
      <x:c r="D279" s="106" t="str">
        <x:v>火山防災</x:v>
      </x:c>
      <x:c r="E279" s="106" t="str">
        <x:v>読図</x:v>
      </x:c>
      <x:c r="F279" s="106" t="str">
        <x:v>B</x:v>
      </x:c>
      <x:c r="G279" s="106" t="str"/>
      <x:c r="H279" s="18" t="str">
        <x:v>火山のハザードマップ</x:v>
      </x:c>
      <x:c r="I279" s="18" t="str">
        <x:v>想定される火口、溶岩流・火砕流・降灰・泥流などの到達範囲や避難場所を示す。噴火ごとに現象や風向が変わるので、地図は予測の一つとして最新情報と併用する。つながり：火砕流／降灰／避難／噴火警戒レベル</x:v>
      </x:c>
      <x:c r="J279" s="18" t="str">
        <x:v>火砕流／降灰／避難／噴火警戒レベル</x:v>
      </x:c>
    </x:row>
    <x:row r="280" ht="62" customHeight="1">
      <x:c r="A280" s="106" t="str">
        <x:v>EAR-044</x:v>
      </x:c>
      <x:c r="B280" s="106" t="str">
        <x:v>地学</x:v>
      </x:c>
      <x:c r="C280" s="106" t="str">
        <x:v>中1</x:v>
      </x:c>
      <x:c r="D280" s="106" t="str">
        <x:v>地震</x:v>
      </x:c>
      <x:c r="E280" s="106" t="str">
        <x:v>比較</x:v>
      </x:c>
      <x:c r="F280" s="106" t="str">
        <x:v>A</x:v>
      </x:c>
      <x:c r="G280" s="106" t="str"/>
      <x:c r="H280" s="18" t="str">
        <x:v>震源（しんげん）と震央（しんおう）</x:v>
      </x:c>
      <x:c r="I280" s="18" t="str">
        <x:v>地下で岩盤が破壊され地震が発生した場所が震源（しんげん）、その真上の地表点が震央（しんおう）。震央に最も近い地点が必ず最大震度（しんど）になるとは限らず、地盤や震源の深さも影響する。つながり：震源／震央／震度／断層（だんそう）</x:v>
      </x:c>
      <x:c r="J280" s="18" t="str">
        <x:v>震源／震央／震度／断層だんそう&lt;／rt&gt;&lt;／ruby&gt;</x:v>
      </x:c>
    </x:row>
    <x:row r="281" ht="62" customHeight="1">
      <x:c r="A281" s="106" t="str">
        <x:v>EAR-045</x:v>
      </x:c>
      <x:c r="B281" s="106" t="str">
        <x:v>地学</x:v>
      </x:c>
      <x:c r="C281" s="106" t="str">
        <x:v>中1</x:v>
      </x:c>
      <x:c r="D281" s="106" t="str">
        <x:v>地震</x:v>
      </x:c>
      <x:c r="E281" s="106" t="str">
        <x:v>比較</x:v>
      </x:c>
      <x:c r="F281" s="106" t="str">
        <x:v>A</x:v>
      </x:c>
      <x:c r="G281" s="106" t="n">
        <x:v>52</x:v>
      </x:c>
      <x:c r="H281" s="18" t="str">
        <x:v>P波とS波</x:v>
      </x:c>
      <x:c r="I281" s="18" t="str">
        <x:v>P波は速く伝わる縦波で、固体・液体・気体を伝わり初期微動（しょきびどう）を起こす。S波は遅い横波で、固体だけを伝わり主要動（しゅようどう）を起こす。液体の外核をS波が通らないことは、地球内部を知る手がかりになる。つながり：初期微動／主要動／縦波／横波</x:v>
      </x:c>
      <x:c r="J281" s="18" t="str">
        <x:v>初期微動／主要動／縦波／横波</x:v>
      </x:c>
    </x:row>
    <x:row r="282" ht="62" customHeight="1">
      <x:c r="A282" s="106" t="str">
        <x:v>EAR-046</x:v>
      </x:c>
      <x:c r="B282" s="106" t="str">
        <x:v>地学</x:v>
      </x:c>
      <x:c r="C282" s="106" t="str">
        <x:v>中1</x:v>
      </x:c>
      <x:c r="D282" s="106" t="str">
        <x:v>地震</x:v>
      </x:c>
      <x:c r="E282" s="106" t="str">
        <x:v>用語</x:v>
      </x:c>
      <x:c r="F282" s="106" t="str">
        <x:v>A</x:v>
      </x:c>
      <x:c r="G282" s="106" t="str"/>
      <x:c r="H282" s="18" t="str">
        <x:v>初期微動（しょきびどう）と主要動（しゅようどう）</x:v>
      </x:c>
      <x:c r="I282" s="18" t="str">
        <x:v>最初の小さな揺れが初期微動（しょきびどう）でP波による。その後の大きな揺れが主要動（しゅようどう）でS波による。初期微動継続時間はP波到着からS波到着までの時間。つながり：P波／S波／初期微動継続時間／地震計</x:v>
      </x:c>
      <x:c r="J282" s="18" t="str">
        <x:v>P波／S波／初期微動継続時間／地震計</x:v>
      </x:c>
    </x:row>
    <x:row r="283" ht="62" customHeight="1">
      <x:c r="A283" s="106" t="str">
        <x:v>EAR-047</x:v>
      </x:c>
      <x:c r="B283" s="106" t="str">
        <x:v>地学</x:v>
      </x:c>
      <x:c r="C283" s="106" t="str">
        <x:v>中1</x:v>
      </x:c>
      <x:c r="D283" s="106" t="str">
        <x:v>地震</x:v>
      </x:c>
      <x:c r="E283" s="106" t="str">
        <x:v>計算</x:v>
      </x:c>
      <x:c r="F283" s="106" t="str">
        <x:v>A</x:v>
      </x:c>
      <x:c r="G283" s="106" t="n">
        <x:v>60</x:v>
      </x:c>
      <x:c r="H283" s="18" t="str">
        <x:v>初期微動（しょきびどう）継続時間と震源（しんげん）距離</x:v>
      </x:c>
      <x:c r="I283" s="18" t="str">
        <x:v>P波とS波の速さの差によって生じ、震源（しんげん）から遠いほど長くなる。同じ地震なら震源距離にほぼ比例するため、既知地点との比例計算で距離を求められる。地震の規模を直接表す時間ではない。つながり：P波／S波／震源距離／比例</x:v>
      </x:c>
      <x:c r="J283" s="18" t="str">
        <x:v>P波／S波／震源距離／比例</x:v>
      </x:c>
    </x:row>
    <x:row r="284" ht="62" customHeight="1">
      <x:c r="A284" s="106" t="str">
        <x:v>EAR-048</x:v>
      </x:c>
      <x:c r="B284" s="106" t="str">
        <x:v>地学</x:v>
      </x:c>
      <x:c r="C284" s="106" t="str">
        <x:v>中1</x:v>
      </x:c>
      <x:c r="D284" s="106" t="str">
        <x:v>地震</x:v>
      </x:c>
      <x:c r="E284" s="106" t="str">
        <x:v>読図</x:v>
      </x:c>
      <x:c r="F284" s="106" t="str">
        <x:v>A</x:v>
      </x:c>
      <x:c r="G284" s="106" t="str"/>
      <x:c r="H284" s="18" t="str">
        <x:v>地震波の速さを求めるグラフ</x:v>
      </x:c>
      <x:c r="I284" s="18" t="str">
        <x:v>横軸が距離、縦軸が到着時刻または経過時間なら、直線の傾きは時間差÷距離差で、速さ＝距離差÷時間差。したがって傾きが小さいP波の方が速い。絶対的な到着時刻をそのまま伝わる時間として割らず、2点の差か発震時刻を使う。つながり：走時曲線／P波／S波／速さ</x:v>
      </x:c>
      <x:c r="J284" s="18" t="str">
        <x:v>走時曲線／P波／S波／速さ</x:v>
      </x:c>
    </x:row>
    <x:row r="285" ht="62" customHeight="1">
      <x:c r="A285" s="106" t="str">
        <x:v>EAR-049</x:v>
      </x:c>
      <x:c r="B285" s="106" t="str">
        <x:v>地学</x:v>
      </x:c>
      <x:c r="C285" s="106" t="str">
        <x:v>中1</x:v>
      </x:c>
      <x:c r="D285" s="106" t="str">
        <x:v>地震</x:v>
      </x:c>
      <x:c r="E285" s="106" t="str">
        <x:v>計算</x:v>
      </x:c>
      <x:c r="F285" s="106" t="str">
        <x:v>A</x:v>
      </x:c>
      <x:c r="G285" s="106" t="str"/>
      <x:c r="H285" s="18" t="str">
        <x:v>発震時刻の求め方</x:v>
      </x:c>
      <x:c r="I285" s="18" t="str">
        <x:v>P波の到着時刻から、震源（しんげん）距離÷P波の速さで求めた伝わる時間を引く。複数観測点の走時曲線を距離0まで延長した交点からも読める。到着時刻と発生時刻を混同しない。つながり：P波到着時刻／震源距離／走時曲線／発震時刻</x:v>
      </x:c>
      <x:c r="J285" s="18" t="str">
        <x:v>P波到着時刻／震源距離／走時曲線／発震時刻</x:v>
      </x:c>
    </x:row>
    <x:row r="286" ht="62" customHeight="1">
      <x:c r="A286" s="106" t="str">
        <x:v>EAR-050</x:v>
      </x:c>
      <x:c r="B286" s="106" t="str">
        <x:v>地学</x:v>
      </x:c>
      <x:c r="C286" s="106" t="str">
        <x:v>中1</x:v>
      </x:c>
      <x:c r="D286" s="106" t="str">
        <x:v>地震</x:v>
      </x:c>
      <x:c r="E286" s="106" t="str">
        <x:v>用語</x:v>
      </x:c>
      <x:c r="F286" s="106" t="str">
        <x:v>A</x:v>
      </x:c>
      <x:c r="G286" s="106" t="str"/>
      <x:c r="H286" s="18" t="str">
        <x:v>震度（しんど）</x:v>
      </x:c>
      <x:c r="I286" s="18" t="str">
        <x:v>ある地点での揺れの強さを表し、日本では気象庁震度（しんど）階級0〜7（5と6は弱・強）を用いる。同じ地震でも震源（しんげん）距離・深さ・地盤などで地点ごとに異なる。つながり：気象庁震度階級／地盤／震源距離／マグニチュード</x:v>
      </x:c>
      <x:c r="J286" s="18" t="str">
        <x:v>気象庁震度階級／地盤／震源距離／マグニチュード</x:v>
      </x:c>
    </x:row>
    <x:row r="287" ht="62" customHeight="1">
      <x:c r="A287" s="106" t="str">
        <x:v>EAR-051</x:v>
      </x:c>
      <x:c r="B287" s="106" t="str">
        <x:v>地学</x:v>
      </x:c>
      <x:c r="C287" s="106" t="str">
        <x:v>中1</x:v>
      </x:c>
      <x:c r="D287" s="106" t="str">
        <x:v>地震</x:v>
      </x:c>
      <x:c r="E287" s="106" t="str">
        <x:v>用語</x:v>
      </x:c>
      <x:c r="F287" s="106" t="str">
        <x:v>A</x:v>
      </x:c>
      <x:c r="G287" s="106" t="str"/>
      <x:c r="H287" s="18" t="str">
        <x:v>マグニチュード</x:v>
      </x:c>
      <x:c r="I287" s="18" t="str">
        <x:v>地震そのものの規模、すなわち放出エネルギーの大きさを表す。原則として一つの地震に一つの値。1大きくなるとエネルギーは約32倍、2大きいと約1000倍。つながり：震度（しんど）／地震エネルギー／震源（しんげん）／対数</x:v>
      </x:c>
      <x:c r="J287" s="18" t="str">
        <x:v>震度しんど&lt;／rt&gt;&lt;／ruby&gt;／地震エネルギー／震源しんげん&lt;／rt&gt;&lt;／ruby&gt;／対数</x:v>
      </x:c>
    </x:row>
    <x:row r="288" ht="62" customHeight="1">
      <x:c r="A288" s="106" t="str">
        <x:v>EAR-052</x:v>
      </x:c>
      <x:c r="B288" s="106" t="str">
        <x:v>地学</x:v>
      </x:c>
      <x:c r="C288" s="106" t="str">
        <x:v>中1</x:v>
      </x:c>
      <x:c r="D288" s="106" t="str">
        <x:v>地震</x:v>
      </x:c>
      <x:c r="E288" s="106" t="str">
        <x:v>比較</x:v>
      </x:c>
      <x:c r="F288" s="106" t="str">
        <x:v>A</x:v>
      </x:c>
      <x:c r="G288" s="106" t="str"/>
      <x:c r="H288" s="18" t="str">
        <x:v>震度（しんど）とマグニチュードの違い</x:v>
      </x:c>
      <x:c r="I288" s="18" t="str">
        <x:v>マグニチュードは地震全体の規模、震度（しんど）は各地点の揺れ。大きな地震でも遠ければ震度は小さいことがあり、小規模でも浅く近ければ強く揺れることがある。つながり：震度／マグニチュード／震源（しんげん）距離／震源の深さ</x:v>
      </x:c>
      <x:c r="J288" s="18" t="str">
        <x:v>震度／マグニチュード／震源しんげん&lt;／rt&gt;&lt;／ruby&gt;距離／震源の深さ</x:v>
      </x:c>
    </x:row>
    <x:row r="289" ht="62" customHeight="1">
      <x:c r="A289" s="106" t="str">
        <x:v>EAR-053</x:v>
      </x:c>
      <x:c r="B289" s="106" t="str">
        <x:v>地学</x:v>
      </x:c>
      <x:c r="C289" s="106" t="str">
        <x:v>中1</x:v>
      </x:c>
      <x:c r="D289" s="106" t="str">
        <x:v>地震</x:v>
      </x:c>
      <x:c r="E289" s="106" t="str">
        <x:v>因果</x:v>
      </x:c>
      <x:c r="F289" s="106" t="str">
        <x:v>A</x:v>
      </x:c>
      <x:c r="G289" s="106" t="str"/>
      <x:c r="H289" s="18" t="str">
        <x:v>地震が起こる仕組み</x:v>
      </x:c>
      <x:c r="I289" s="18" t="str">
        <x:v>プレート運動などで岩盤に力がたまり、限界を超えると断層（だんそう）面で急にずれて弾性エネルギーが地震波として放出される。地震後もプレート運動は続く。つながり：プレート／断層／弾性エネルギー／地震波</x:v>
      </x:c>
      <x:c r="J289" s="18" t="str">
        <x:v>プレート／断層／弾性エネルギー／地震波</x:v>
      </x:c>
    </x:row>
    <x:row r="290" ht="62" customHeight="1">
      <x:c r="A290" s="106" t="str">
        <x:v>EAR-054</x:v>
      </x:c>
      <x:c r="B290" s="106" t="str">
        <x:v>地学</x:v>
      </x:c>
      <x:c r="C290" s="106" t="str">
        <x:v>中1</x:v>
      </x:c>
      <x:c r="D290" s="106" t="str">
        <x:v>地震</x:v>
      </x:c>
      <x:c r="E290" s="106" t="str">
        <x:v>比較</x:v>
      </x:c>
      <x:c r="F290" s="106" t="str">
        <x:v>B</x:v>
      </x:c>
      <x:c r="G290" s="106" t="str"/>
      <x:c r="H290" s="18" t="str">
        <x:v>海溝型地震と内陸地震</x:v>
      </x:c>
      <x:c r="I290" s="18" t="str">
        <x:v>海溝型は沈み込むプレート境界などで起こり、規模が大きく津波を伴うことがある。内陸地震は陸側プレート内部の活断層（だんそう）などで起こり、浅くても局地的に強く揺れる。つながり：海溝／活断層／津波／プレート境界</x:v>
      </x:c>
      <x:c r="J290" s="18" t="str">
        <x:v>海溝／活断層／津波／プレート境界</x:v>
      </x:c>
    </x:row>
    <x:row r="291" ht="62" customHeight="1">
      <x:c r="A291" s="106" t="str">
        <x:v>EAR-055</x:v>
      </x:c>
      <x:c r="B291" s="106" t="str">
        <x:v>地学</x:v>
      </x:c>
      <x:c r="C291" s="106" t="str">
        <x:v>中1</x:v>
      </x:c>
      <x:c r="D291" s="106" t="str">
        <x:v>地震</x:v>
      </x:c>
      <x:c r="E291" s="106" t="str">
        <x:v>因果</x:v>
      </x:c>
      <x:c r="F291" s="106" t="str">
        <x:v>A</x:v>
      </x:c>
      <x:c r="G291" s="106" t="str"/>
      <x:c r="H291" s="18" t="str">
        <x:v>津波が起こる仕組み</x:v>
      </x:c>
      <x:c r="I291" s="18" t="str">
        <x:v>海底が地震などで急に上下し、海水全体が押し上げ・引き下げられて長い波が広がる。深海では低く速く、浅海で速度が落ち波高が増す。通常の風波とは仕組みが違う。つながり：海底変動／海溝型地震／波高／避難</x:v>
      </x:c>
      <x:c r="J291" s="18" t="str">
        <x:v>海底変動／海溝型地震／波高／避難</x:v>
      </x:c>
    </x:row>
    <x:row r="292" ht="62" customHeight="1">
      <x:c r="A292" s="106" t="str">
        <x:v>EAR-056</x:v>
      </x:c>
      <x:c r="B292" s="106" t="str">
        <x:v>地学</x:v>
      </x:c>
      <x:c r="C292" s="106" t="str">
        <x:v>中1</x:v>
      </x:c>
      <x:c r="D292" s="106" t="str">
        <x:v>地震防災</x:v>
      </x:c>
      <x:c r="E292" s="106" t="str">
        <x:v>因果</x:v>
      </x:c>
      <x:c r="F292" s="106" t="str">
        <x:v>B</x:v>
      </x:c>
      <x:c r="G292" s="106" t="str"/>
      <x:c r="H292" s="18" t="str">
        <x:v>緊急地震速報の原理</x:v>
      </x:c>
      <x:c r="I292" s="18" t="str">
        <x:v>震源（しんげん）近くで速いP波を検知し、遅いS波による強い揺れが届く前に知らせる。震源に近い地域では間に合わない場合があり、地震そのものを予知する仕組みではない。つながり：P波／S波／初期微動（しょきびどう）／主要動（しゅようどう）</x:v>
      </x:c>
      <x:c r="J292" s="18" t="str">
        <x:v>P波／S波／初期微動しょきびどう&lt;／rt&gt;&lt;／ruby&gt;／主要動しゅようどう&lt;／rt&gt;&lt;／ruby&gt;</x:v>
      </x:c>
    </x:row>
    <x:row r="293" ht="62" customHeight="1">
      <x:c r="A293" s="106" t="str">
        <x:v>EAR-057</x:v>
      </x:c>
      <x:c r="B293" s="106" t="str">
        <x:v>地学</x:v>
      </x:c>
      <x:c r="C293" s="106" t="str">
        <x:v>中1</x:v>
      </x:c>
      <x:c r="D293" s="106" t="str">
        <x:v>地震防災</x:v>
      </x:c>
      <x:c r="E293" s="106" t="str">
        <x:v>用語</x:v>
      </x:c>
      <x:c r="F293" s="106" t="str">
        <x:v>B</x:v>
      </x:c>
      <x:c r="G293" s="106" t="str"/>
      <x:c r="H293" s="18" t="str">
        <x:v>液状化</x:v>
      </x:c>
      <x:c r="I293" s="18" t="str">
        <x:v>水を多く含むゆるい砂地盤が強い揺れで液体のようになり、建物の沈下やマンホールの浮上が起こる現象。埋立地や旧河道などで起こりやすい。つながり：砂地盤／地下水／地震／埋立地</x:v>
      </x:c>
      <x:c r="J293" s="18" t="str">
        <x:v>砂地盤／地下水／地震／埋立地</x:v>
      </x:c>
    </x:row>
    <x:row r="294" ht="62" customHeight="1">
      <x:c r="A294" s="106" t="str">
        <x:v>EAR-058</x:v>
      </x:c>
      <x:c r="B294" s="106" t="str">
        <x:v>地学</x:v>
      </x:c>
      <x:c r="C294" s="106" t="str">
        <x:v>中1</x:v>
      </x:c>
      <x:c r="D294" s="106" t="str">
        <x:v>堆積</x:v>
      </x:c>
      <x:c r="E294" s="106" t="str">
        <x:v>用語</x:v>
      </x:c>
      <x:c r="F294" s="106" t="str">
        <x:v>A</x:v>
      </x:c>
      <x:c r="G294" s="106" t="str"/>
      <x:c r="H294" s="18" t="str">
        <x:v>堆積物（たいせきぶつ）の粒の大きさ</x:v>
      </x:c>
      <x:c r="I294" s="18" t="str">
        <x:v>粒が大きい順に、れき（直径2 mm以上）・砂（1/16〜2 mm）・泥（1/16 mm未満）。流れが弱くなると大きな粒から先に沈み、細かな粒ほど遠くまで運ばれやすい。つながり：れき／砂／泥／流速</x:v>
      </x:c>
      <x:c r="J294" s="18" t="str">
        <x:v>れき／砂／泥／流速</x:v>
      </x:c>
    </x:row>
    <x:row r="295" ht="62" customHeight="1">
      <x:c r="A295" s="106" t="str">
        <x:v>EAR-059</x:v>
      </x:c>
      <x:c r="B295" s="106" t="str">
        <x:v>地学</x:v>
      </x:c>
      <x:c r="C295" s="106" t="str">
        <x:v>中1</x:v>
      </x:c>
      <x:c r="D295" s="106" t="str">
        <x:v>堆積</x:v>
      </x:c>
      <x:c r="E295" s="106" t="str">
        <x:v>読図</x:v>
      </x:c>
      <x:c r="F295" s="106" t="str">
        <x:v>B</x:v>
      </x:c>
      <x:c r="G295" s="106" t="str"/>
      <x:c r="H295" s="18" t="str">
        <x:v>級化層理</x:v>
      </x:c>
      <x:c r="I295" s="18" t="str">
        <x:v>一枚の層の中で下ほど粒が大きく、上ほど細かくなる構造。流れがしだいに弱まって、大きな粒から順に沈んだことを示し、地層の上下判定にも使える。つながり：堆積（たいせき）／粒径／地層／上下判定</x:v>
      </x:c>
      <x:c r="J295" s="18" t="str">
        <x:v>堆積たいせき&lt;／rt&gt;&lt;／ruby&gt;／粒径／地層／上下判定</x:v>
      </x:c>
    </x:row>
    <x:row r="296" ht="62" customHeight="1">
      <x:c r="A296" s="106" t="str">
        <x:v>EAR-060</x:v>
      </x:c>
      <x:c r="B296" s="106" t="str">
        <x:v>地学</x:v>
      </x:c>
      <x:c r="C296" s="106" t="str">
        <x:v>中1</x:v>
      </x:c>
      <x:c r="D296" s="106" t="str">
        <x:v>堆積</x:v>
      </x:c>
      <x:c r="E296" s="106" t="str">
        <x:v>因果</x:v>
      </x:c>
      <x:c r="F296" s="106" t="str">
        <x:v>B</x:v>
      </x:c>
      <x:c r="G296" s="106" t="str"/>
      <x:c r="H296" s="18" t="str">
        <x:v>流水で粒が丸くなる理由</x:v>
      </x:c>
      <x:c r="I296" s="18" t="str">
        <x:v>れきが運ばれる間に互いにぶつかり、川底とこすれて角が削られるため。一般に上流では角ばり、下流ほど丸みを帯び小さくなる。岩石の硬さにも左右される。つながり：運搬（うんぱん）／侵食（しんしょく）／れき／河川</x:v>
      </x:c>
      <x:c r="J296" s="18" t="str">
        <x:v>運搬うんぱん&lt;／rt&gt;&lt;／ruby&gt;／侵食しんしょく&lt;／rt&gt;&lt;／ruby&gt;／れき／河川</x:v>
      </x:c>
    </x:row>
    <x:row r="297" ht="62" customHeight="1">
      <x:c r="A297" s="106" t="str">
        <x:v>EAR-061</x:v>
      </x:c>
      <x:c r="B297" s="106" t="str">
        <x:v>地学</x:v>
      </x:c>
      <x:c r="C297" s="106" t="str">
        <x:v>中1</x:v>
      </x:c>
      <x:c r="D297" s="106" t="str">
        <x:v>堆積岩</x:v>
      </x:c>
      <x:c r="E297" s="106" t="str">
        <x:v>用語</x:v>
      </x:c>
      <x:c r="F297" s="106" t="str">
        <x:v>A</x:v>
      </x:c>
      <x:c r="G297" s="106" t="str"/>
      <x:c r="H297" s="18" t="str">
        <x:v>堆積（たいせき）岩</x:v>
      </x:c>
      <x:c r="I297" s="18" t="str">
        <x:v>堆積（たいせき）物が押し固められ、粒のすき間を鉱物（こうぶつ）が埋めて固まった岩石。れき岩・砂岩・泥岩・凝灰岩（ぎょうかいがん）・石灰岩・チャートなどがある。層理や化石を含むことが多い。つながり：堆積物／層理／化石／続成作用</x:v>
      </x:c>
      <x:c r="J297" s="18" t="str">
        <x:v>堆積物／層理／化石／続成作用</x:v>
      </x:c>
    </x:row>
    <x:row r="298" ht="62" customHeight="1">
      <x:c r="A298" s="106" t="str">
        <x:v>EAR-062</x:v>
      </x:c>
      <x:c r="B298" s="106" t="str">
        <x:v>地学</x:v>
      </x:c>
      <x:c r="C298" s="106" t="str">
        <x:v>中1</x:v>
      </x:c>
      <x:c r="D298" s="106" t="str">
        <x:v>堆積岩</x:v>
      </x:c>
      <x:c r="E298" s="106" t="str">
        <x:v>比較</x:v>
      </x:c>
      <x:c r="F298" s="106" t="str">
        <x:v>A</x:v>
      </x:c>
      <x:c r="G298" s="106" t="str"/>
      <x:c r="H298" s="18" t="str">
        <x:v>れき岩・砂岩・泥岩</x:v>
      </x:c>
      <x:c r="I298" s="18" t="str">
        <x:v>主な粒の大きさで区別する。直径2 mm以上の丸いれきが多いのがれき岩、砂粒が砂岩、非常に細かな泥が泥岩。岩石全体の大きさではなく構成粒子を見る。つながり：れき／砂／泥／粒径</x:v>
      </x:c>
      <x:c r="J298" s="18" t="str">
        <x:v>れき／砂／泥／粒径</x:v>
      </x:c>
    </x:row>
    <x:row r="299" ht="62" customHeight="1">
      <x:c r="A299" s="106" t="str">
        <x:v>EAR-063</x:v>
      </x:c>
      <x:c r="B299" s="106" t="str">
        <x:v>地学</x:v>
      </x:c>
      <x:c r="C299" s="106" t="str">
        <x:v>中1</x:v>
      </x:c>
      <x:c r="D299" s="106" t="str">
        <x:v>堆積岩</x:v>
      </x:c>
      <x:c r="E299" s="106" t="str">
        <x:v>用語</x:v>
      </x:c>
      <x:c r="F299" s="106" t="str">
        <x:v>A</x:v>
      </x:c>
      <x:c r="G299" s="106" t="str"/>
      <x:c r="H299" s="18" t="str">
        <x:v>凝灰岩（ぎょうかいがん）</x:v>
      </x:c>
      <x:c r="I299" s="18" t="str">
        <x:v>火山灰などの火山噴出物が堆積（たいせき）して固まった岩石。広い範囲に短期間で積もる火山灰層は、離れた地層を同じ時代として対比する鍵層になりやすい。つながり：火山灰／鍵層／堆積岩／噴火</x:v>
      </x:c>
      <x:c r="J299" s="18" t="str">
        <x:v>火山灰／鍵層／堆積岩／噴火</x:v>
      </x:c>
    </x:row>
    <x:row r="300" ht="62" customHeight="1">
      <x:c r="A300" s="106" t="str">
        <x:v>EAR-064</x:v>
      </x:c>
      <x:c r="B300" s="106" t="str">
        <x:v>地学</x:v>
      </x:c>
      <x:c r="C300" s="106" t="str">
        <x:v>中1</x:v>
      </x:c>
      <x:c r="D300" s="106" t="str">
        <x:v>堆積岩</x:v>
      </x:c>
      <x:c r="E300" s="106" t="str">
        <x:v>用語</x:v>
      </x:c>
      <x:c r="F300" s="106" t="str">
        <x:v>A</x:v>
      </x:c>
      <x:c r="G300" s="106" t="str"/>
      <x:c r="H300" s="18" t="str">
        <x:v>石灰岩</x:v>
      </x:c>
      <x:c r="I300" s="18" t="str">
        <x:v>サンゴや貝殻などの炭酸カルシウムが堆積（たいせき）してできることが多い。うすい塩酸をかけると二酸化（さんか）炭素を発生して泡立つ。生物起源でない石灰岩もある。つながり：炭酸カルシウム／塩酸／サンゴ／二酸化炭素</x:v>
      </x:c>
      <x:c r="J300" s="18" t="str">
        <x:v>炭酸カルシウム／塩酸／サンゴ／二酸化炭素</x:v>
      </x:c>
    </x:row>
    <x:row r="301" ht="62" customHeight="1">
      <x:c r="A301" s="106" t="str">
        <x:v>EAR-065</x:v>
      </x:c>
      <x:c r="B301" s="106" t="str">
        <x:v>地学</x:v>
      </x:c>
      <x:c r="C301" s="106" t="str">
        <x:v>中1</x:v>
      </x:c>
      <x:c r="D301" s="106" t="str">
        <x:v>堆積岩</x:v>
      </x:c>
      <x:c r="E301" s="106" t="str">
        <x:v>比較</x:v>
      </x:c>
      <x:c r="F301" s="106" t="str">
        <x:v>B</x:v>
      </x:c>
      <x:c r="G301" s="106" t="str"/>
      <x:c r="H301" s="18" t="str">
        <x:v>チャート</x:v>
      </x:c>
      <x:c r="I301" s="18" t="str">
        <x:v>主に二酸化（さんか）ケイ素からなり、放散虫など微小生物の殻が深海底に堆積（たいせき）してできるものが多い。非常に硬く、うすい塩酸では泡立たない。石灰岩との識別点。つながり：二酸化ケイ素／放散虫／石灰岩／深海</x:v>
      </x:c>
      <x:c r="J301" s="18" t="str">
        <x:v>二酸化ケイ素／放散虫／石灰岩／深海</x:v>
      </x:c>
    </x:row>
    <x:row r="302" ht="62" customHeight="1">
      <x:c r="A302" s="106" t="str">
        <x:v>EAR-066</x:v>
      </x:c>
      <x:c r="B302" s="106" t="str">
        <x:v>地学</x:v>
      </x:c>
      <x:c r="C302" s="106" t="str">
        <x:v>中1</x:v>
      </x:c>
      <x:c r="D302" s="106" t="str">
        <x:v>化石</x:v>
      </x:c>
      <x:c r="E302" s="106" t="str">
        <x:v>用語</x:v>
      </x:c>
      <x:c r="F302" s="106" t="str">
        <x:v>A</x:v>
      </x:c>
      <x:c r="G302" s="106" t="str"/>
      <x:c r="H302" s="18" t="str">
        <x:v>示準化石（しじゅんかせき）</x:v>
      </x:c>
      <x:c r="I302" s="18" t="str">
        <x:v>地層が堆積（たいせき）した年代を知る手がかりとなる化石。短い期間に栄え、広い範囲に分布した生物が適する。例はフズリナ・アンモナイト・ビカリア・ナウマンゾウなど。つながり：年代／地質時代／アンモナイト／地層対比</x:v>
      </x:c>
      <x:c r="J302" s="18" t="str">
        <x:v>年代／地質時代／アンモナイト／地層対比</x:v>
      </x:c>
    </x:row>
    <x:row r="303" ht="62" customHeight="1">
      <x:c r="A303" s="106" t="str">
        <x:v>EAR-067</x:v>
      </x:c>
      <x:c r="B303" s="106" t="str">
        <x:v>地学</x:v>
      </x:c>
      <x:c r="C303" s="106" t="str">
        <x:v>中1</x:v>
      </x:c>
      <x:c r="D303" s="106" t="str">
        <x:v>化石</x:v>
      </x:c>
      <x:c r="E303" s="106" t="str">
        <x:v>用語</x:v>
      </x:c>
      <x:c r="F303" s="106" t="str">
        <x:v>A</x:v>
      </x:c>
      <x:c r="G303" s="106" t="str"/>
      <x:c r="H303" s="18" t="str">
        <x:v>示相化石（しそうかせき）</x:v>
      </x:c>
      <x:c r="I303" s="18" t="str">
        <x:v>地層が堆積（たいせき）した当時の環境を知る手がかりとなる化石。限られた環境にすむ生物が適し、サンゴは暖かく浅い海、シジミは河口や湖などの汽水・淡水環境を示す。つながり：堆積環境／サンゴ／シジミ／化石</x:v>
      </x:c>
      <x:c r="J303" s="18" t="str">
        <x:v>堆積環境／サンゴ／シジミ／化石</x:v>
      </x:c>
    </x:row>
    <x:row r="304" ht="62" customHeight="1">
      <x:c r="A304" s="106" t="str">
        <x:v>EAR-068</x:v>
      </x:c>
      <x:c r="B304" s="106" t="str">
        <x:v>地学</x:v>
      </x:c>
      <x:c r="C304" s="106" t="str">
        <x:v>中1</x:v>
      </x:c>
      <x:c r="D304" s="106" t="str">
        <x:v>化石</x:v>
      </x:c>
      <x:c r="E304" s="106" t="str">
        <x:v>比較</x:v>
      </x:c>
      <x:c r="F304" s="106" t="str">
        <x:v>A</x:v>
      </x:c>
      <x:c r="G304" s="106" t="n">
        <x:v>61</x:v>
      </x:c>
      <x:c r="H304" s="18" t="str">
        <x:v>示準化石（しじゅんかせき）と示相化石（しそうかせき）の違い</x:v>
      </x:c>
      <x:c r="I304" s="18" t="str">
        <x:v>示準化石（しじゅんかせき）は『いつ』を示し、短期間・広範囲の生物が適する。示相化石（しそうかせき）は『どんな環境』を示し、生息環境が限られる生物が適する。同じ化石が両方の情報を与えることもある。つながり：年代／堆積（たいせき）環境／地層／化石</x:v>
      </x:c>
      <x:c r="J304" s="18" t="str">
        <x:v>年代／堆積たいせき&lt;／rt&gt;&lt;／ruby&gt;環境／地層／化石</x:v>
      </x:c>
    </x:row>
    <x:row r="305" ht="62" customHeight="1">
      <x:c r="A305" s="106" t="str">
        <x:v>EAR-069</x:v>
      </x:c>
      <x:c r="B305" s="106" t="str">
        <x:v>地学</x:v>
      </x:c>
      <x:c r="C305" s="106" t="str">
        <x:v>中1</x:v>
      </x:c>
      <x:c r="D305" s="106" t="str">
        <x:v>地質時代</x:v>
      </x:c>
      <x:c r="E305" s="106" t="str">
        <x:v>用語</x:v>
      </x:c>
      <x:c r="F305" s="106" t="str">
        <x:v>B</x:v>
      </x:c>
      <x:c r="G305" s="106" t="str"/>
      <x:c r="H305" s="18" t="str">
        <x:v>古生代の代表的な生物</x:v>
      </x:c>
      <x:c r="I305" s="18" t="str">
        <x:v>海では三葉虫・フズリナ、陸上ではシダ植物が繁栄し、魚類から両生類・爬虫類が現れた。末に大規模な絶滅。化石と時代を一対一の暗記だけにせず順序で捉える。つながり：三葉虫／フズリナ／シダ植物／示準化石（しじゅんかせき）</x:v>
      </x:c>
      <x:c r="J305" s="18" t="str">
        <x:v>三葉虫／フズリナ／シダ植物／示準化石しじゅんかせき&lt;／rt&gt;&lt;／ruby&gt;</x:v>
      </x:c>
    </x:row>
    <x:row r="306" ht="62" customHeight="1">
      <x:c r="A306" s="106" t="str">
        <x:v>EAR-070</x:v>
      </x:c>
      <x:c r="B306" s="106" t="str">
        <x:v>地学</x:v>
      </x:c>
      <x:c r="C306" s="106" t="str">
        <x:v>中1</x:v>
      </x:c>
      <x:c r="D306" s="106" t="str">
        <x:v>地質時代</x:v>
      </x:c>
      <x:c r="E306" s="106" t="str">
        <x:v>用語</x:v>
      </x:c>
      <x:c r="F306" s="106" t="str">
        <x:v>A</x:v>
      </x:c>
      <x:c r="G306" s="106" t="str"/>
      <x:c r="H306" s="18" t="str">
        <x:v>中生代の代表的な生物</x:v>
      </x:c>
      <x:c r="I306" s="18" t="str">
        <x:v>爬虫類、とくに恐竜が繁栄し、アンモナイトも広く分布した。初期の哺乳類や鳥類も現れた。末の大量絶滅後、鳥類につながる系統を除く恐竜とアンモナイトは姿を消した。つながり：恐竜／アンモナイト／爬虫類／大量絶滅</x:v>
      </x:c>
      <x:c r="J306" s="18" t="str">
        <x:v>恐竜／アンモナイト／爬虫類／大量絶滅</x:v>
      </x:c>
    </x:row>
    <x:row r="307" ht="62" customHeight="1">
      <x:c r="A307" s="106" t="str">
        <x:v>EAR-071</x:v>
      </x:c>
      <x:c r="B307" s="106" t="str">
        <x:v>地学</x:v>
      </x:c>
      <x:c r="C307" s="106" t="str">
        <x:v>中1</x:v>
      </x:c>
      <x:c r="D307" s="106" t="str">
        <x:v>地質時代</x:v>
      </x:c>
      <x:c r="E307" s="106" t="str">
        <x:v>用語</x:v>
      </x:c>
      <x:c r="F307" s="106" t="str">
        <x:v>A</x:v>
      </x:c>
      <x:c r="G307" s="106" t="str"/>
      <x:c r="H307" s="18" t="str">
        <x:v>新生代の代表的な生物</x:v>
      </x:c>
      <x:c r="I307" s="18" t="str">
        <x:v>哺乳類と被子植物（ひししょくぶつ）が多様化した。日本の地層では新生代のビカリアやナウマンゾウなどが年代の手がかりになる。人類が現れたのも新生代。つながり：哺乳類／被子植物／ビカリア／ナウマンゾウ</x:v>
      </x:c>
      <x:c r="J307" s="18" t="str">
        <x:v>哺乳類／被子植物／ビカリア／ナウマンゾウ</x:v>
      </x:c>
    </x:row>
    <x:row r="308" ht="62" customHeight="1">
      <x:c r="A308" s="106" t="str">
        <x:v>EAR-072</x:v>
      </x:c>
      <x:c r="B308" s="106" t="str">
        <x:v>地学</x:v>
      </x:c>
      <x:c r="C308" s="106" t="str">
        <x:v>中1</x:v>
      </x:c>
      <x:c r="D308" s="106" t="str">
        <x:v>地層</x:v>
      </x:c>
      <x:c r="E308" s="106" t="str">
        <x:v>用語</x:v>
      </x:c>
      <x:c r="F308" s="106" t="str">
        <x:v>A</x:v>
      </x:c>
      <x:c r="G308" s="106" t="str"/>
      <x:c r="H308" s="18" t="str">
        <x:v>地層累重（ちそうるいじゅう）の法則</x:v>
      </x:c>
      <x:c r="I308" s="18" t="str">
        <x:v>地層が大きく乱されず順に堆積（たいせき）したなら、下の地層ほど古く上ほど新しい。断層（だんそう）で逆転したり褶曲（しゅうきょく）したりした地層にはそのまま適用せず、上下を示す構造も確認する。つながり：堆積／新旧関係／褶曲／断層</x:v>
      </x:c>
      <x:c r="J308" s="18" t="str">
        <x:v>堆積／新旧関係／褶曲／断層</x:v>
      </x:c>
    </x:row>
    <x:row r="309" ht="62" customHeight="1">
      <x:c r="A309" s="106" t="str">
        <x:v>EAR-073</x:v>
      </x:c>
      <x:c r="B309" s="106" t="str">
        <x:v>地学</x:v>
      </x:c>
      <x:c r="C309" s="106" t="str">
        <x:v>中1</x:v>
      </x:c>
      <x:c r="D309" s="106" t="str">
        <x:v>地層</x:v>
      </x:c>
      <x:c r="E309" s="106" t="str">
        <x:v>用語</x:v>
      </x:c>
      <x:c r="F309" s="106" t="str">
        <x:v>A</x:v>
      </x:c>
      <x:c r="G309" s="106" t="str"/>
      <x:c r="H309" s="18" t="str">
        <x:v>不整合（ふせいごう）</x:v>
      </x:c>
      <x:c r="I309" s="18" t="str">
        <x:v>地層が堆積（たいせき）した後に隆起・侵食（しんしょく）され、その上に新しい地層が堆積してできる時間の不連続な境界。境界面の上下で傾きが違うことや基底れき岩が手がかりになる。つながり：隆起／侵食／堆積／時間間隙</x:v>
      </x:c>
      <x:c r="J309" s="18" t="str">
        <x:v>隆起／侵食／堆積／時間間隙</x:v>
      </x:c>
    </x:row>
    <x:row r="310" ht="62" customHeight="1">
      <x:c r="A310" s="106" t="str">
        <x:v>EAR-074</x:v>
      </x:c>
      <x:c r="B310" s="106" t="str">
        <x:v>地学</x:v>
      </x:c>
      <x:c r="C310" s="106" t="str">
        <x:v>中1</x:v>
      </x:c>
      <x:c r="D310" s="106" t="str">
        <x:v>地殻変動</x:v>
      </x:c>
      <x:c r="E310" s="106" t="str">
        <x:v>比較</x:v>
      </x:c>
      <x:c r="F310" s="106" t="str">
        <x:v>A</x:v>
      </x:c>
      <x:c r="G310" s="106" t="str"/>
      <x:c r="H310" s="18" t="str">
        <x:v>褶曲（しゅうきょく）</x:v>
      </x:c>
      <x:c r="I310" s="18" t="str">
        <x:v>地層が横から強い力を受け、波状に曲がること。山地形成などと関係する。割れてずれる断層（だんそう）とは区別し、地層が連続して曲がっているかを見る。つながり：圧縮／断層／地層／造山運動</x:v>
      </x:c>
      <x:c r="J310" s="18" t="str">
        <x:v>圧縮／断層／地層／造山運動</x:v>
      </x:c>
    </x:row>
    <x:row r="311" ht="62" customHeight="1">
      <x:c r="A311" s="106" t="str">
        <x:v>EAR-075</x:v>
      </x:c>
      <x:c r="B311" s="106" t="str">
        <x:v>地学</x:v>
      </x:c>
      <x:c r="C311" s="106" t="str">
        <x:v>中1</x:v>
      </x:c>
      <x:c r="D311" s="106" t="str">
        <x:v>地殻変動</x:v>
      </x:c>
      <x:c r="E311" s="106" t="str">
        <x:v>用語</x:v>
      </x:c>
      <x:c r="F311" s="106" t="str">
        <x:v>A</x:v>
      </x:c>
      <x:c r="G311" s="106" t="str"/>
      <x:c r="H311" s="18" t="str">
        <x:v>断層（だんそう）</x:v>
      </x:c>
      <x:c r="I311" s="18" t="str">
        <x:v>地下の岩盤や地層が割れ、その面を境にずれる構造。引っ張る力で上盤が下がる正断層（だんそう）、圧縮で上盤が上がる逆断層、水平にずれる横ずれ断層がある。つながり：正断層／逆断層／横ずれ断層／地震</x:v>
      </x:c>
      <x:c r="J311" s="18" t="str">
        <x:v>正断層／逆断層／横ずれ断層／地震</x:v>
      </x:c>
    </x:row>
    <x:row r="312" ht="62" customHeight="1">
      <x:c r="A312" s="106" t="str">
        <x:v>EAR-076</x:v>
      </x:c>
      <x:c r="B312" s="106" t="str">
        <x:v>地学</x:v>
      </x:c>
      <x:c r="C312" s="106" t="str">
        <x:v>中1</x:v>
      </x:c>
      <x:c r="D312" s="106" t="str">
        <x:v>地殻変動</x:v>
      </x:c>
      <x:c r="E312" s="106" t="str">
        <x:v>読図</x:v>
      </x:c>
      <x:c r="F312" s="106" t="str">
        <x:v>B</x:v>
      </x:c>
      <x:c r="G312" s="106" t="str"/>
      <x:c r="H312" s="18" t="str">
        <x:v>正断層（だんそう）と逆断層</x:v>
      </x:c>
      <x:c r="I312" s="18" t="str">
        <x:v>正断層（だんそう）は引っ張る力で上盤が相対的に下がり、逆断層は圧縮する力で上盤が上がる。図では地面の高さではなく、傾いた断層面の上側にある岩盤が上盤。つながり：上盤／下盤／引張力／圧縮力</x:v>
      </x:c>
      <x:c r="J312" s="18" t="str">
        <x:v>上盤／下盤／引張力／圧縮力</x:v>
      </x:c>
    </x:row>
    <x:row r="313" ht="62" customHeight="1">
      <x:c r="A313" s="106" t="str">
        <x:v>EAR-077</x:v>
      </x:c>
      <x:c r="B313" s="106" t="str">
        <x:v>地学</x:v>
      </x:c>
      <x:c r="C313" s="106" t="str">
        <x:v>中1</x:v>
      </x:c>
      <x:c r="D313" s="106" t="str">
        <x:v>地層の読図</x:v>
      </x:c>
      <x:c r="E313" s="106" t="str">
        <x:v>読図</x:v>
      </x:c>
      <x:c r="F313" s="106" t="str">
        <x:v>A</x:v>
      </x:c>
      <x:c r="G313" s="106" t="n">
        <x:v>62</x:v>
      </x:c>
      <x:c r="H313" s="18" t="str">
        <x:v>柱状図（ちゅうじょうず）</x:v>
      </x:c>
      <x:c r="I313" s="18" t="str">
        <x:v>ある地点の地層を、厚さ・岩質・化石などとともに柱状に表した図。上ほど新しいのが基本。標高の異なる地点を比べるときは、図の上端ではなく同じ標高や鍵層を基準にする。つながり：地層／標高／鍵層／地層対比</x:v>
      </x:c>
      <x:c r="J313" s="18" t="str">
        <x:v>地層／標高／鍵層／地層対比</x:v>
      </x:c>
    </x:row>
    <x:row r="314" ht="62" customHeight="1">
      <x:c r="A314" s="106" t="str">
        <x:v>EAR-078</x:v>
      </x:c>
      <x:c r="B314" s="106" t="str">
        <x:v>地学</x:v>
      </x:c>
      <x:c r="C314" s="106" t="str">
        <x:v>中1</x:v>
      </x:c>
      <x:c r="D314" s="106" t="str">
        <x:v>地層の読図</x:v>
      </x:c>
      <x:c r="E314" s="106" t="str">
        <x:v>用語</x:v>
      </x:c>
      <x:c r="F314" s="106" t="str">
        <x:v>A</x:v>
      </x:c>
      <x:c r="G314" s="106" t="str"/>
      <x:c r="H314" s="18" t="str">
        <x:v>鍵層</x:v>
      </x:c>
      <x:c r="I314" s="18" t="str">
        <x:v>特徴が明瞭で広く追跡でき、複数地点の地層を対比する目印となる層。短時間に広域へ積もった火山灰層などが適する。同じ岩質というだけで同一層とは限らない。つながり：火山灰層／柱状図／地層対比／噴火</x:v>
      </x:c>
      <x:c r="J314" s="18" t="str">
        <x:v>火山灰層／柱状図／地層対比／噴火</x:v>
      </x:c>
    </x:row>
    <x:row r="315" ht="62" customHeight="1">
      <x:c r="A315" s="106" t="str">
        <x:v>EAR-079</x:v>
      </x:c>
      <x:c r="B315" s="106" t="str">
        <x:v>地学</x:v>
      </x:c>
      <x:c r="C315" s="106" t="str">
        <x:v>中1</x:v>
      </x:c>
      <x:c r="D315" s="106" t="str">
        <x:v>地層の読図</x:v>
      </x:c>
      <x:c r="E315" s="106" t="str">
        <x:v>読図</x:v>
      </x:c>
      <x:c r="F315" s="106" t="str">
        <x:v>A</x:v>
      </x:c>
      <x:c r="G315" s="106" t="str"/>
      <x:c r="H315" s="18" t="str">
        <x:v>柱状図から地層の傾きを読む</x:v>
      </x:c>
      <x:c r="I315" s="18" t="str">
        <x:v>同じ鍵層の標高を比べると、2地点を結ぶ方向では高い側から低い側へ地層が傾く。地表高度と鍵層までの深さから実際の標高を求める。真の傾斜方向や走向を一意に定めるには、一直線上でない少なくとも3地点が必要。つながり：鍵層／標高／深さ／走向傾斜</x:v>
      </x:c>
      <x:c r="J315" s="18" t="str">
        <x:v>鍵層／標高／深さ／走向傾斜</x:v>
      </x:c>
    </x:row>
    <x:row r="316" ht="62" customHeight="1">
      <x:c r="A316" s="106" t="str">
        <x:v>EAR-080</x:v>
      </x:c>
      <x:c r="B316" s="106" t="str">
        <x:v>地学</x:v>
      </x:c>
      <x:c r="C316" s="106" t="str">
        <x:v>中1</x:v>
      </x:c>
      <x:c r="D316" s="106" t="str">
        <x:v>地層の読図</x:v>
      </x:c>
      <x:c r="E316" s="106" t="str">
        <x:v>計算</x:v>
      </x:c>
      <x:c r="F316" s="106" t="str">
        <x:v>A</x:v>
      </x:c>
      <x:c r="G316" s="106" t="str"/>
      <x:c r="H316" s="18" t="str">
        <x:v>ボーリング資料の標高換算</x:v>
      </x:c>
      <x:c r="I316" s="18" t="str">
        <x:v>地層境界の標高＝地表の標高－地表からの深さ。複数地点で同じ層の境界標高を比較する。深さの数値だけを直接比べると、地表の高さが違う場合に誤る。つながり：ボーリング／柱状図／標高／鍵層</x:v>
      </x:c>
      <x:c r="J316" s="18" t="str">
        <x:v>ボーリング／柱状図／標高／鍵層</x:v>
      </x:c>
    </x:row>
    <x:row r="317" ht="62" customHeight="1">
      <x:c r="A317" s="106" t="str">
        <x:v>EAR-081</x:v>
      </x:c>
      <x:c r="B317" s="106" t="str">
        <x:v>地学</x:v>
      </x:c>
      <x:c r="C317" s="106" t="str">
        <x:v>中1</x:v>
      </x:c>
      <x:c r="D317" s="106" t="str">
        <x:v>地層の読図</x:v>
      </x:c>
      <x:c r="E317" s="106" t="str">
        <x:v>読図</x:v>
      </x:c>
      <x:c r="F317" s="106" t="str">
        <x:v>A</x:v>
      </x:c>
      <x:c r="G317" s="106" t="str"/>
      <x:c r="H317" s="18" t="str">
        <x:v>地質断面の出来事の順序</x:v>
      </x:c>
      <x:c r="I317" s="18" t="str">
        <x:v>基本は堆積（たいせき）→変形や貫入（かんにゅう）→侵食（しんしょく）→新たな堆積。断層（だんそう）や火成岩（かせいがん）が切っている地層より、その断層・貫入は新しい。切られている方が古いという交差関係を使う。つながり：断層／貫入／不整合／新旧関係</x:v>
      </x:c>
      <x:c r="J317" s="18" t="str">
        <x:v>断層／貫入／不整合／新旧関係</x:v>
      </x:c>
    </x:row>
    <x:row r="318" ht="62" customHeight="1">
      <x:c r="A318" s="106" t="str">
        <x:v>EAR-082</x:v>
      </x:c>
      <x:c r="B318" s="106" t="str">
        <x:v>地学</x:v>
      </x:c>
      <x:c r="C318" s="106" t="str">
        <x:v>中1</x:v>
      </x:c>
      <x:c r="D318" s="106" t="str">
        <x:v>土地の変化</x:v>
      </x:c>
      <x:c r="E318" s="106" t="str">
        <x:v>比較</x:v>
      </x:c>
      <x:c r="F318" s="106" t="str">
        <x:v>A</x:v>
      </x:c>
      <x:c r="G318" s="106" t="str"/>
      <x:c r="H318" s="18" t="str">
        <x:v>風化（ふうか）と侵食（しんしょく）</x:v>
      </x:c>
      <x:c r="I318" s="18" t="str">
        <x:v>風化（ふうか）は温度変化・水・生物などで岩石がその場でもろくなること。侵食（しんしょく）は流水・波・氷河・風などが岩石や土砂を削り取ること。『その場で崩れる』と『運び去られる』を区別する。つながり：風化／侵食／運搬（うんぱん）／堆積（たいせき）</x:v>
      </x:c>
      <x:c r="J318" s="18" t="str">
        <x:v>風化／侵食／運搬うんぱん&lt;／rt&gt;&lt;／ruby&gt;／堆積たいせき&lt;／rt&gt;&lt;／ruby&gt;</x:v>
      </x:c>
    </x:row>
    <x:row r="319" ht="62" customHeight="1">
      <x:c r="A319" s="106" t="str">
        <x:v>EAR-083</x:v>
      </x:c>
      <x:c r="B319" s="106" t="str">
        <x:v>地学</x:v>
      </x:c>
      <x:c r="C319" s="106" t="str">
        <x:v>中1</x:v>
      </x:c>
      <x:c r="D319" s="106" t="str">
        <x:v>地下水</x:v>
      </x:c>
      <x:c r="E319" s="106" t="str">
        <x:v>用語</x:v>
      </x:c>
      <x:c r="F319" s="106" t="str">
        <x:v>B</x:v>
      </x:c>
      <x:c r="G319" s="106" t="str"/>
      <x:c r="H319" s="18" t="str">
        <x:v>地下水と帯水層（たいすいそう）</x:v>
      </x:c>
      <x:c r="I319" s="18" t="str">
        <x:v>雨水が地中へしみ込み、砂やれきなど水を通しやすい層に蓄えられた水が地下水。水を通しやすく蓄える地層を帯水層、粘土など通しにくい層を難透水層という。つながり：浸透／帯水層／難透水層／湧水</x:v>
      </x:c>
      <x:c r="J319" s="18" t="str">
        <x:v>浸透／帯水層／難透水層／湧水</x:v>
      </x:c>
    </x:row>
    <x:row r="320" ht="62" customHeight="1">
      <x:c r="A320" s="106" t="str">
        <x:v>EAR-084</x:v>
      </x:c>
      <x:c r="B320" s="106" t="str">
        <x:v>地学</x:v>
      </x:c>
      <x:c r="C320" s="106" t="str">
        <x:v>中1</x:v>
      </x:c>
      <x:c r="D320" s="106" t="str">
        <x:v>地形</x:v>
      </x:c>
      <x:c r="E320" s="106" t="str">
        <x:v>用語</x:v>
      </x:c>
      <x:c r="F320" s="106" t="str">
        <x:v>B</x:v>
      </x:c>
      <x:c r="G320" s="106" t="str"/>
      <x:c r="H320" s="18" t="str">
        <x:v>扇状地（せんじょうち）</x:v>
      </x:c>
      <x:c r="I320" s="18" t="str">
        <x:v>山地から平地へ出た川の流れが急に弱まり、れきや砂が扇形に堆積（たいせき）した地形。水はけがよく、扇端では地下水が湧きやすい。三角州より粒が粗い。つながり：堆積／扇頂／扇端／三角州</x:v>
      </x:c>
      <x:c r="J320" s="18" t="str">
        <x:v>堆積／扇頂／扇端／三角州</x:v>
      </x:c>
    </x:row>
    <x:row r="321" ht="62" customHeight="1">
      <x:c r="A321" s="106" t="str">
        <x:v>EAR-085</x:v>
      </x:c>
      <x:c r="B321" s="106" t="str">
        <x:v>地学</x:v>
      </x:c>
      <x:c r="C321" s="106" t="str">
        <x:v>中1</x:v>
      </x:c>
      <x:c r="D321" s="106" t="str">
        <x:v>地形</x:v>
      </x:c>
      <x:c r="E321" s="106" t="str">
        <x:v>用語</x:v>
      </x:c>
      <x:c r="F321" s="106" t="str">
        <x:v>B</x:v>
      </x:c>
      <x:c r="G321" s="106" t="str"/>
      <x:c r="H321" s="18" t="str">
        <x:v>三角州</x:v>
      </x:c>
      <x:c r="I321" s="18" t="str">
        <x:v>川が海や湖へ注ぐ河口付近で流れが弱まり、細かな砂や泥が堆積（たいせき）してできる低く平らな地形。水はけが悪いことがあり、洪水や液状化の危険も考える。つながり：河口／堆積／泥／扇状地</x:v>
      </x:c>
      <x:c r="J321" s="18" t="str">
        <x:v>河口／堆積／泥／扇状地</x:v>
      </x:c>
    </x:row>
    <x:row r="322" ht="62" customHeight="1">
      <x:c r="A322" s="106" t="str">
        <x:v>EAR-086</x:v>
      </x:c>
      <x:c r="B322" s="106" t="str">
        <x:v>地学</x:v>
      </x:c>
      <x:c r="C322" s="106" t="str">
        <x:v>中1</x:v>
      </x:c>
      <x:c r="D322" s="106" t="str">
        <x:v>地形</x:v>
      </x:c>
      <x:c r="E322" s="106" t="str">
        <x:v>用語</x:v>
      </x:c>
      <x:c r="F322" s="106" t="str">
        <x:v>C</x:v>
      </x:c>
      <x:c r="G322" s="106" t="str"/>
      <x:c r="H322" s="18" t="str">
        <x:v>河岸段丘（かがんだんきゅう）</x:v>
      </x:c>
      <x:c r="I322" s="18" t="str">
        <x:v>かつての川底や氾濫原が、土地の隆起や海面変化などで川より高い段丘面として残った地形。川が下刻して段差をつくる。海岸にできる海岸段丘と区別する。つながり：隆起／侵食（しんしょく）／段丘面／河川</x:v>
      </x:c>
      <x:c r="J322" s="18" t="str">
        <x:v>隆起／侵食しんしょく&lt;／rt&gt;&lt;／ruby&gt;／段丘面／河川</x:v>
      </x:c>
    </x:row>
    <x:row r="323" ht="62" customHeight="1">
      <x:c r="A323" s="106" t="str">
        <x:v>EAR-173</x:v>
      </x:c>
      <x:c r="B323" s="106" t="str">
        <x:v>地学</x:v>
      </x:c>
      <x:c r="C323" s="106" t="str">
        <x:v>中1</x:v>
      </x:c>
      <x:c r="D323" s="106" t="str">
        <x:v>地震</x:v>
      </x:c>
      <x:c r="E323" s="106" t="str">
        <x:v>読図</x:v>
      </x:c>
      <x:c r="F323" s="106" t="str">
        <x:v>A</x:v>
      </x:c>
      <x:c r="G323" s="106" t="str"/>
      <x:c r="H323" s="18" t="str">
        <x:v>複数観測点から震央（しんおう）を推定する方法</x:v>
      </x:c>
      <x:c r="I323" s="18" t="str">
        <x:v>地図上で各観測点を中心に、求めた震央（しんおう）距離を半径とする円を描くと、共通の交点付近が震央になる。2地点では候補が2つ残り得るため、3地点以上で絞る。震源（しんげん）距離しかない場合は本来、観測点を中心とする球面の地下での交点が震源で、その真上が震央である。つながり：震央／震源距離／初期微動（しょきびどう）継続時間／走時曲線</x:v>
      </x:c>
      <x:c r="J323" s="18" t="str">
        <x:v>震央／震源距離／初期微動しょきびどう&lt;／rt&gt;&lt;／ruby&gt;継続時間／走時曲線</x:v>
      </x:c>
    </x:row>
    <x:row r="324" ht="62" customHeight="1">
      <x:c r="A324" s="106" t="str">
        <x:v>INQ-027</x:v>
      </x:c>
      <x:c r="B324" s="106" t="str">
        <x:v>探究</x:v>
      </x:c>
      <x:c r="C324" s="106" t="str">
        <x:v>中2</x:v>
      </x:c>
      <x:c r="D324" s="106" t="str">
        <x:v>科学的探究</x:v>
      </x:c>
      <x:c r="E324" s="106" t="str">
        <x:v>用語</x:v>
      </x:c>
      <x:c r="F324" s="106" t="str">
        <x:v>B</x:v>
      </x:c>
      <x:c r="G324" s="106" t="str"/>
      <x:c r="H324" s="18" t="str">
        <x:v>反証（はんしょう）できる仮説（かせつ）</x:v>
      </x:c>
      <x:c r="I324" s="18" t="str">
        <x:v>どの観察結果が出れば誤りだと判断するかを、実験前に示せる仮説（かせつ）である。どんな結果にも後付けで合わせられる説明は、科学的に厳しく検討できない。つながり：反証可能性／仮説／予測／検証</x:v>
      </x:c>
      <x:c r="J324" s="18" t="str">
        <x:v>反証可能性／仮説／予測／検証</x:v>
      </x:c>
    </x:row>
    <x:row r="325" ht="62" customHeight="1">
      <x:c r="A325" s="106" t="str">
        <x:v>INQ-028</x:v>
      </x:c>
      <x:c r="B325" s="106" t="str">
        <x:v>探究</x:v>
      </x:c>
      <x:c r="C325" s="106" t="str">
        <x:v>中2</x:v>
      </x:c>
      <x:c r="D325" s="106" t="str">
        <x:v>科学的探究</x:v>
      </x:c>
      <x:c r="E325" s="106" t="str">
        <x:v>実験</x:v>
      </x:c>
      <x:c r="F325" s="106" t="str">
        <x:v>A</x:v>
      </x:c>
      <x:c r="G325" s="106" t="str"/>
      <x:c r="H325" s="18" t="str">
        <x:v>予想と違う結果が出たときの順序</x:v>
      </x:c>
      <x:c r="I325" s="18" t="str">
        <x:v>まず記録・操作・器具・条件を確認し、必要なら再実験する。結果を都合よく変えず、再現するなら仮説（かせつ）や前提を修正する。つながり：予想外の結果／再実験／仮説修正／誤差</x:v>
      </x:c>
      <x:c r="J325" s="18" t="str">
        <x:v>予想外の結果／再実験／仮説修正／誤差</x:v>
      </x:c>
    </x:row>
    <x:row r="326" ht="62" customHeight="1">
      <x:c r="A326" s="106" t="str">
        <x:v>INQ-029</x:v>
      </x:c>
      <x:c r="B326" s="106" t="str">
        <x:v>探究</x:v>
      </x:c>
      <x:c r="C326" s="106" t="str">
        <x:v>中2</x:v>
      </x:c>
      <x:c r="D326" s="106" t="str">
        <x:v>科学的探究</x:v>
      </x:c>
      <x:c r="E326" s="106" t="str">
        <x:v>誤解対策</x:v>
      </x:c>
      <x:c r="F326" s="106" t="str">
        <x:v>A</x:v>
      </x:c>
      <x:c r="G326" s="106" t="str"/>
      <x:c r="H326" s="18" t="str">
        <x:v>実験結果から言える範囲</x:v>
      </x:c>
      <x:c r="I326" s="18" t="str">
        <x:v>実際に調べた対象・条件・数値範囲に限って結論を書く。少数の植物や一つの温度で得た結果を、全生物・全条件へ無条件に広げない。つながり：結論／一般化／標本／外挿（がいそう）</x:v>
      </x:c>
      <x:c r="J326" s="18" t="str">
        <x:v>結論／一般化／標本／外挿がいそう&lt;／rt&gt;&lt;／ruby&gt;</x:v>
      </x:c>
    </x:row>
    <x:row r="327" ht="62" customHeight="1">
      <x:c r="A327" s="106" t="str">
        <x:v>INQ-030</x:v>
      </x:c>
      <x:c r="B327" s="106" t="str">
        <x:v>探究</x:v>
      </x:c>
      <x:c r="C327" s="106" t="str">
        <x:v>中2</x:v>
      </x:c>
      <x:c r="D327" s="106" t="str">
        <x:v>科学的探究</x:v>
      </x:c>
      <x:c r="E327" s="106" t="str">
        <x:v>実験</x:v>
      </x:c>
      <x:c r="F327" s="106" t="str">
        <x:v>A</x:v>
      </x:c>
      <x:c r="G327" s="106" t="str"/>
      <x:c r="H327" s="18" t="str">
        <x:v>操作の理由まで説明する実験計画</x:v>
      </x:c>
      <x:c r="I327" s="18" t="str">
        <x:v>手順だけでなく「温度をそろえて別要因を除く」「最初の気体を捨てて装置内の空気を除く」のように目的を書く。理由があると、必要な操作と不要な操作を判別できる。つながり：実験計画／操作理由／条件制御／安全</x:v>
      </x:c>
      <x:c r="J327" s="18" t="str">
        <x:v>実験計画／操作理由／条件制御／安全</x:v>
      </x:c>
    </x:row>
    <x:row r="328" ht="62" customHeight="1">
      <x:c r="A328" s="106" t="str">
        <x:v>INQ-039</x:v>
      </x:c>
      <x:c r="B328" s="106" t="str">
        <x:v>探究</x:v>
      </x:c>
      <x:c r="C328" s="106" t="str">
        <x:v>中2</x:v>
      </x:c>
      <x:c r="D328" s="106" t="str">
        <x:v>測定と誤差</x:v>
      </x:c>
      <x:c r="E328" s="106" t="str">
        <x:v>用語</x:v>
      </x:c>
      <x:c r="F328" s="106" t="str">
        <x:v>A</x:v>
      </x:c>
      <x:c r="G328" s="106" t="n">
        <x:v>10</x:v>
      </x:c>
      <x:c r="H328" s="18" t="str">
        <x:v>測るたび不規則に変わるずれ</x:v>
      </x:c>
      <x:c r="I328" s="18" t="str">
        <x:v>読み取りやわずかな環境変動で正負にばらつくずれを偶然誤差（ぐうぜんごさ）という。回数を増やして平均すると影響を小さくできるが、完全には消えない。つながり：偶然誤差／反復／平均／散らばり</x:v>
      </x:c>
      <x:c r="J328" s="18" t="str">
        <x:v>偶然誤差／反復／平均／散らばり</x:v>
      </x:c>
    </x:row>
    <x:row r="329" ht="62" customHeight="1">
      <x:c r="A329" s="106" t="str">
        <x:v>INQ-040</x:v>
      </x:c>
      <x:c r="B329" s="106" t="str">
        <x:v>探究</x:v>
      </x:c>
      <x:c r="C329" s="106" t="str">
        <x:v>中2</x:v>
      </x:c>
      <x:c r="D329" s="106" t="str">
        <x:v>測定と誤差</x:v>
      </x:c>
      <x:c r="E329" s="106" t="str">
        <x:v>用語</x:v>
      </x:c>
      <x:c r="F329" s="106" t="str">
        <x:v>A</x:v>
      </x:c>
      <x:c r="G329" s="106" t="n">
        <x:v>11</x:v>
      </x:c>
      <x:c r="H329" s="18" t="str">
        <x:v>全測定を同じ向きにずらす誤差</x:v>
      </x:c>
      <x:c r="I329" s="18" t="str">
        <x:v>器具のゼロ点ずれや校正不良のように、値を一方向へ偏らせるものを系統誤差（けいとうごさ）という。回数を増やして平均しても直らず、器具・方法の点検や補正が必要である。つながり：系統誤差／ゼロ点／校正／補正</x:v>
      </x:c>
      <x:c r="J329" s="18" t="str">
        <x:v>系統誤差／ゼロ点／校正／補正</x:v>
      </x:c>
    </x:row>
    <x:row r="330" ht="62" customHeight="1">
      <x:c r="A330" s="106" t="str">
        <x:v>INQ-041</x:v>
      </x:c>
      <x:c r="B330" s="106" t="str">
        <x:v>探究</x:v>
      </x:c>
      <x:c r="C330" s="106" t="str">
        <x:v>中2</x:v>
      </x:c>
      <x:c r="D330" s="106" t="str">
        <x:v>測定と誤差</x:v>
      </x:c>
      <x:c r="E330" s="106" t="str">
        <x:v>比較</x:v>
      </x:c>
      <x:c r="F330" s="106" t="str">
        <x:v>A</x:v>
      </x:c>
      <x:c r="G330" s="106" t="str"/>
      <x:c r="H330" s="18" t="str">
        <x:v>測定誤差と操作ミスの違い</x:v>
      </x:c>
      <x:c r="I330" s="18" t="str">
        <x:v>誤差は正しく測っても残る不確かさ、操作ミスは目盛の読み違い・条件違反など避けられる失敗である。ミスを「誤差」と呼んで平均へ混ぜず、原因を確認して再測定する。つながり：測定誤差／操作ミス／再測定／外れ値</x:v>
      </x:c>
      <x:c r="J330" s="18" t="str">
        <x:v>測定誤差／操作ミス／再測定／外れ値</x:v>
      </x:c>
    </x:row>
    <x:row r="331" ht="62" customHeight="1">
      <x:c r="A331" s="106" t="str">
        <x:v>INQ-042</x:v>
      </x:c>
      <x:c r="B331" s="106" t="str">
        <x:v>探究</x:v>
      </x:c>
      <x:c r="C331" s="106" t="str">
        <x:v>中2</x:v>
      </x:c>
      <x:c r="D331" s="106" t="str">
        <x:v>測定と誤差</x:v>
      </x:c>
      <x:c r="E331" s="106" t="str">
        <x:v>比較</x:v>
      </x:c>
      <x:c r="F331" s="106" t="str">
        <x:v>B</x:v>
      </x:c>
      <x:c r="G331" s="106" t="str"/>
      <x:c r="H331" s="18" t="str">
        <x:v>正確さと精密さの違い</x:v>
      </x:c>
      <x:c r="I331" s="18" t="str">
        <x:v>正確さは真の値に近い程度、精密さは繰り返した値同士がそろう程度である。値が密集していても、ゼロ点がずれていれば精密だが正確でない。つながり：正確さ／精密さ／系統誤差（けいとうごさ）／偶然誤差（ぐうぜんごさ）</x:v>
      </x:c>
      <x:c r="J331" s="18" t="str">
        <x:v>正確さ／精密さ／系統誤差けいとうごさ&lt;／rt&gt;&lt;／ruby&gt;／偶然誤差ぐうぜんごさ&lt;／rt&gt;&lt;／ruby&gt;</x:v>
      </x:c>
    </x:row>
    <x:row r="332" ht="62" customHeight="1">
      <x:c r="A332" s="106" t="str">
        <x:v>INQ-051</x:v>
      </x:c>
      <x:c r="B332" s="106" t="str">
        <x:v>探究</x:v>
      </x:c>
      <x:c r="C332" s="106" t="str">
        <x:v>中2</x:v>
      </x:c>
      <x:c r="D332" s="106" t="str">
        <x:v>表とグラフ</x:v>
      </x:c>
      <x:c r="E332" s="106" t="str">
        <x:v>読図</x:v>
      </x:c>
      <x:c r="F332" s="106" t="str">
        <x:v>A</x:v>
      </x:c>
      <x:c r="G332" s="106" t="str"/>
      <x:c r="H332" s="18" t="str">
        <x:v>二つの量の関係を見る点の集まり</x:v>
      </x:c>
      <x:c r="I332" s="18" t="str">
        <x:v>各測定を一つの点として表す散布図を使うと、増減の傾向、ばらつき、外れ値が見える。点が右上がりでも、それだけで因果関係は証明できない。つながり：散布図／相関／外れ値／因果</x:v>
      </x:c>
      <x:c r="J332" s="18" t="str">
        <x:v>散布図／相関／外れ値／因果</x:v>
      </x:c>
    </x:row>
    <x:row r="333" ht="62" customHeight="1">
      <x:c r="A333" s="106" t="str">
        <x:v>INQ-053</x:v>
      </x:c>
      <x:c r="B333" s="106" t="str">
        <x:v>探究</x:v>
      </x:c>
      <x:c r="C333" s="106" t="str">
        <x:v>中2</x:v>
      </x:c>
      <x:c r="D333" s="106" t="str">
        <x:v>表とグラフ</x:v>
      </x:c>
      <x:c r="E333" s="106" t="str">
        <x:v>計算</x:v>
      </x:c>
      <x:c r="F333" s="106" t="str">
        <x:v>A</x:v>
      </x:c>
      <x:c r="G333" s="106" t="n">
        <x:v>15</x:v>
      </x:c>
      <x:c r="H333" s="18" t="str">
        <x:v>グラフの傾きが表すもの</x:v>
      </x:c>
      <x:c r="I333" s="18" t="str">
        <x:v>傾きは縦軸の変化量÷横軸の変化量で、横へ1単位進むと縦がどれだけ変わるかを表す。意味と単位は軸によって変わり、距離―時間なら速さになる。つながり：傾き／変化量／速さ／単位</x:v>
      </x:c>
      <x:c r="J333" s="18" t="str">
        <x:v>傾き／変化量／速さ／単位</x:v>
      </x:c>
    </x:row>
    <x:row r="334" ht="62" customHeight="1">
      <x:c r="A334" s="106" t="str">
        <x:v>INQ-055</x:v>
      </x:c>
      <x:c r="B334" s="106" t="str">
        <x:v>探究</x:v>
      </x:c>
      <x:c r="C334" s="106" t="str">
        <x:v>中2</x:v>
      </x:c>
      <x:c r="D334" s="106" t="str">
        <x:v>表とグラフ</x:v>
      </x:c>
      <x:c r="E334" s="106" t="str">
        <x:v>読図</x:v>
      </x:c>
      <x:c r="F334" s="106" t="str">
        <x:v>A</x:v>
      </x:c>
      <x:c r="G334" s="106" t="str"/>
      <x:c r="H334" s="18" t="str">
        <x:v>複数の曲線を比べる順序</x:v>
      </x:c>
      <x:c r="I334" s="18" t="str">
        <x:v>凡例を確認し、同じ横軸の値で縦軸を比べ、交点・傾き・最大最小・変化開始時点を見る。一方だけ別の時刻で比べない。つながり：凡例／複数系列／傾き／交点</x:v>
      </x:c>
      <x:c r="J334" s="18" t="str">
        <x:v>凡例／複数系列／傾き／交点</x:v>
      </x:c>
    </x:row>
    <x:row r="335" ht="62" customHeight="1">
      <x:c r="A335" s="106" t="str">
        <x:v>INQ-056</x:v>
      </x:c>
      <x:c r="B335" s="106" t="str">
        <x:v>探究</x:v>
      </x:c>
      <x:c r="C335" s="106" t="str">
        <x:v>中2</x:v>
      </x:c>
      <x:c r="D335" s="106" t="str">
        <x:v>表とグラフ</x:v>
      </x:c>
      <x:c r="E335" s="106" t="str">
        <x:v>用語</x:v>
      </x:c>
      <x:c r="F335" s="106" t="str">
        <x:v>B</x:v>
      </x:c>
      <x:c r="G335" s="106" t="str"/>
      <x:c r="H335" s="18" t="str">
        <x:v>測定点の間の値を見積もること</x:v>
      </x:c>
      <x:c r="I335" s="18" t="str">
        <x:v>既知データの範囲内で、点と点の間の値を傾向から見積もることを内挿（ないそう）という。関係が滑らかに続くという仮定を使うため、急変点がある場合は注意する。つながり：内挿／近似線／測定範囲／推定</x:v>
      </x:c>
      <x:c r="J335" s="18" t="str">
        <x:v>内挿／近似線／測定範囲／推定</x:v>
      </x:c>
    </x:row>
    <x:row r="336" ht="62" customHeight="1">
      <x:c r="A336" s="106" t="str">
        <x:v>INQ-058</x:v>
      </x:c>
      <x:c r="B336" s="106" t="str">
        <x:v>探究</x:v>
      </x:c>
      <x:c r="C336" s="106" t="str">
        <x:v>中2</x:v>
      </x:c>
      <x:c r="D336" s="106" t="str">
        <x:v>表とグラフ</x:v>
      </x:c>
      <x:c r="E336" s="106" t="str">
        <x:v>実験</x:v>
      </x:c>
      <x:c r="F336" s="106" t="str">
        <x:v>A</x:v>
      </x:c>
      <x:c r="G336" s="106" t="str"/>
      <x:c r="H336" s="18" t="str">
        <x:v>傾向から外れた点の扱い</x:v>
      </x:c>
      <x:c r="I336" s="18" t="str">
        <x:v>すぐ削除せず、記録・器具・条件を確認し、可能なら再測定する。ミスと確認できれば理由付きで除外し、再現するなら新しい現象の手掛かりとして残す。つながり：外れ値／再測定／操作ミス／発見</x:v>
      </x:c>
      <x:c r="J336" s="18" t="str">
        <x:v>外れ値／再測定／操作ミス／発見</x:v>
      </x:c>
    </x:row>
    <x:row r="337" ht="62" customHeight="1">
      <x:c r="A337" s="106" t="str">
        <x:v>INQ-071</x:v>
      </x:c>
      <x:c r="B337" s="106" t="str">
        <x:v>探究</x:v>
      </x:c>
      <x:c r="C337" s="106" t="str">
        <x:v>中2</x:v>
      </x:c>
      <x:c r="D337" s="106" t="str">
        <x:v>比例・割合・単位</x:v>
      </x:c>
      <x:c r="E337" s="106" t="str">
        <x:v>計算</x:v>
      </x:c>
      <x:c r="F337" s="106" t="str">
        <x:v>A</x:v>
      </x:c>
      <x:c r="G337" s="106" t="n">
        <x:v>17</x:v>
      </x:c>
      <x:c r="H337" s="18" t="str">
        <x:v>公式を安全に変形する方法</x:v>
      </x:c>
      <x:c r="I337" s="18" t="str">
        <x:v>求めたい文字だけを残すため、等式の両辺へ同じ演算を行う。V=IRからIを求めるなら両辺をRで割り、I=V/Rとする。つながり：等式／式変形／オームの法則／逆算</x:v>
      </x:c>
      <x:c r="J337" s="18" t="str">
        <x:v>等式／式変形／オームの法則／逆算</x:v>
      </x:c>
    </x:row>
    <x:row r="338" ht="62" customHeight="1">
      <x:c r="A338" s="106" t="str">
        <x:v>INQ-072</x:v>
      </x:c>
      <x:c r="B338" s="106" t="str">
        <x:v>探究</x:v>
      </x:c>
      <x:c r="C338" s="106" t="str">
        <x:v>中2</x:v>
      </x:c>
      <x:c r="D338" s="106" t="str">
        <x:v>比例・割合・単位</x:v>
      </x:c>
      <x:c r="E338" s="106" t="str">
        <x:v>計算</x:v>
      </x:c>
      <x:c r="F338" s="106" t="str">
        <x:v>A</x:v>
      </x:c>
      <x:c r="G338" s="106" t="str"/>
      <x:c r="H338" s="18" t="str">
        <x:v>答えの単位で式を点検する</x:v>
      </x:c>
      <x:c r="I338" s="18" t="str">
        <x:v>式の各量を単位付きで計算し、求めたい量の単位になるか確認する。距離÷時間がm/sになるように、単位が合わなければ換算または式の誤りを疑う。つながり：次元／単位／式／検算</x:v>
      </x:c>
      <x:c r="J338" s="18" t="str">
        <x:v>次元／単位／式／検算</x:v>
      </x:c>
    </x:row>
    <x:row r="339" ht="62" customHeight="1">
      <x:c r="A339" s="106" t="str">
        <x:v>INQ-079</x:v>
      </x:c>
      <x:c r="B339" s="106" t="str">
        <x:v>探究</x:v>
      </x:c>
      <x:c r="C339" s="106" t="str">
        <x:v>中2</x:v>
      </x:c>
      <x:c r="D339" s="106" t="str">
        <x:v>実験器具と安全</x:v>
      </x:c>
      <x:c r="E339" s="106" t="str">
        <x:v>実験</x:v>
      </x:c>
      <x:c r="F339" s="106" t="str">
        <x:v>B</x:v>
      </x:c>
      <x:c r="G339" s="106" t="str"/>
      <x:c r="H339" s="18" t="str">
        <x:v>濃い薬品を薄めるときの確認事項</x:v>
      </x:c>
      <x:c r="I339" s="18" t="str">
        <x:v>薬品ごとの指定手順を守り、保護具を着け、少量ずつ混ぜて発熱や飛散を避ける。特に濃硫酸は必ず酸を水へ少しずつ加え、逆にしない。つながり：希釈／発熱／酸／保護眼鏡</x:v>
      </x:c>
      <x:c r="J339" s="18" t="str">
        <x:v>希釈／発熱／酸／保護眼鏡</x:v>
      </x:c>
    </x:row>
    <x:row r="340" ht="62" customHeight="1">
      <x:c r="A340" s="106" t="str">
        <x:v>INQ-084</x:v>
      </x:c>
      <x:c r="B340" s="106" t="str">
        <x:v>探究</x:v>
      </x:c>
      <x:c r="C340" s="106" t="str">
        <x:v>中2</x:v>
      </x:c>
      <x:c r="D340" s="106" t="str">
        <x:v>実験器具と安全</x:v>
      </x:c>
      <x:c r="E340" s="106" t="str">
        <x:v>因果</x:v>
      </x:c>
      <x:c r="F340" s="106" t="str">
        <x:v>A</x:v>
      </x:c>
      <x:c r="G340" s="106" t="str"/>
      <x:c r="H340" s="18" t="str">
        <x:v>通電後の電熱線へすぐ触れない理由</x:v>
      </x:c>
      <x:c r="I340" s="18" t="str">
        <x:v>見た目が変わらなくても高温になり、電源を切った後もしばらく熱い。通電時間を守り、冷えたことを確かめてから扱う。つながり：電熱線／ジュール熱／通電／やけど</x:v>
      </x:c>
      <x:c r="J340" s="18" t="str">
        <x:v>電熱線／ジュール熱／通電／やけど</x:v>
      </x:c>
    </x:row>
    <x:row r="341" ht="62" customHeight="1">
      <x:c r="A341" s="106" t="str">
        <x:v>INQ-088</x:v>
      </x:c>
      <x:c r="B341" s="106" t="str">
        <x:v>探究</x:v>
      </x:c>
      <x:c r="C341" s="106" t="str">
        <x:v>中2</x:v>
      </x:c>
      <x:c r="D341" s="106" t="str">
        <x:v>資料読解</x:v>
      </x:c>
      <x:c r="E341" s="106" t="str">
        <x:v>因果</x:v>
      </x:c>
      <x:c r="F341" s="106" t="str">
        <x:v>A</x:v>
      </x:c>
      <x:c r="G341" s="106" t="n">
        <x:v>19</x:v>
      </x:c>
      <x:c r="H341" s="18" t="str">
        <x:v>主張・証拠・理由付けの組み立て</x:v>
      </x:c>
      <x:c r="I341" s="18" t="str">
        <x:v>結論となる主張、資料から選んだ証拠、科学概念を使って両者を結ぶ理由付けの順に説明する。数値を写すだけでは、なぜ結論を支えるかが不足する。つながり：主張／証拠／理由付け／科学概念</x:v>
      </x:c>
      <x:c r="J341" s="18" t="str">
        <x:v>主張／証拠／理由付け／科学概念</x:v>
      </x:c>
    </x:row>
    <x:row r="342" ht="62" customHeight="1">
      <x:c r="A342" s="106" t="str">
        <x:v>INQ-089</x:v>
      </x:c>
      <x:c r="B342" s="106" t="str">
        <x:v>探究</x:v>
      </x:c>
      <x:c r="C342" s="106" t="str">
        <x:v>中2</x:v>
      </x:c>
      <x:c r="D342" s="106" t="str">
        <x:v>資料読解</x:v>
      </x:c>
      <x:c r="E342" s="106" t="str">
        <x:v>比較</x:v>
      </x:c>
      <x:c r="F342" s="106" t="str">
        <x:v>A</x:v>
      </x:c>
      <x:c r="G342" s="106" t="str"/>
      <x:c r="H342" s="18" t="str">
        <x:v>複数資料が一致しないときの点検</x:v>
      </x:c>
      <x:c r="I342" s="18" t="str">
        <x:v>対象、期間、場所、単位、測定方法、標本数が同じか確認する。条件が違えば数値の不一致は矛盾とは限らず、比較可能な部分だけを使う。つながり：複数資料／測定条件／単位／標本</x:v>
      </x:c>
      <x:c r="J342" s="18" t="str">
        <x:v>複数資料／測定条件／単位／標本</x:v>
      </x:c>
    </x:row>
    <x:row r="343" ht="62" customHeight="1">
      <x:c r="A343" s="106" t="str">
        <x:v>INQ-091</x:v>
      </x:c>
      <x:c r="B343" s="106" t="str">
        <x:v>探究</x:v>
      </x:c>
      <x:c r="C343" s="106" t="str">
        <x:v>中2</x:v>
      </x:c>
      <x:c r="D343" s="106" t="str">
        <x:v>資料読解</x:v>
      </x:c>
      <x:c r="E343" s="106" t="str">
        <x:v>比較</x:v>
      </x:c>
      <x:c r="F343" s="106" t="str">
        <x:v>A</x:v>
      </x:c>
      <x:c r="G343" s="106" t="str"/>
      <x:c r="H343" s="18" t="str">
        <x:v>資料を同じ条件で比べる</x:v>
      </x:c>
      <x:c r="I343" s="18" t="str">
        <x:v>同じ時刻・期間・面積・個体数など、比較の基準をそろえる。総量が大きくても対象数が多いだけなら、一個体当たりでは小さい場合がある。つながり：比較条件／単位当たり量／割合／標本数</x:v>
      </x:c>
      <x:c r="J343" s="18" t="str">
        <x:v>比較条件／単位当たり量／割合／標本数</x:v>
      </x:c>
    </x:row>
    <x:row r="344" ht="62" customHeight="1">
      <x:c r="A344" s="106" t="str">
        <x:v>INQ-092</x:v>
      </x:c>
      <x:c r="B344" s="106" t="str">
        <x:v>探究</x:v>
      </x:c>
      <x:c r="C344" s="106" t="str">
        <x:v>中2</x:v>
      </x:c>
      <x:c r="D344" s="106" t="str">
        <x:v>資料読解</x:v>
      </x:c>
      <x:c r="E344" s="106" t="str">
        <x:v>誤解対策</x:v>
      </x:c>
      <x:c r="F344" s="106" t="str">
        <x:v>A</x:v>
      </x:c>
      <x:c r="G344" s="106" t="str"/>
      <x:c r="H344" s="18" t="str">
        <x:v>標本数が少ない資料の注意</x:v>
      </x:c>
      <x:c r="I344" s="18" t="str">
        <x:v>偶然や個体差の影響を強く受け、全体の傾向を代表しにくい。対象を増やし、選び方の偏りを減らし、ばらつきも示すと信頼性が上がる。つながり：標本数／個体差／偏り／信頼性</x:v>
      </x:c>
      <x:c r="J344" s="18" t="str">
        <x:v>標本数／個体差／偏り／信頼性</x:v>
      </x:c>
    </x:row>
    <x:row r="345" ht="62" customHeight="1">
      <x:c r="A345" s="106" t="str">
        <x:v>INQ-093</x:v>
      </x:c>
      <x:c r="B345" s="106" t="str">
        <x:v>探究</x:v>
      </x:c>
      <x:c r="C345" s="106" t="str">
        <x:v>中2</x:v>
      </x:c>
      <x:c r="D345" s="106" t="str">
        <x:v>資料読解</x:v>
      </x:c>
      <x:c r="E345" s="106" t="str">
        <x:v>誤解対策</x:v>
      </x:c>
      <x:c r="F345" s="106" t="str">
        <x:v>A</x:v>
      </x:c>
      <x:c r="G345" s="106" t="str"/>
      <x:c r="H345" s="18" t="str">
        <x:v>欠けたデータを0として扱えない理由</x:v>
      </x:c>
      <x:c r="I345" s="18" t="str">
        <x:v>未測定・測定失敗は「値が0」とは異なる。欠測の印を付け、理由を確認し、平均やグラフへ0として入れない。つながり：欠測値／ゼロ／平均／データ処理</x:v>
      </x:c>
      <x:c r="J345" s="18" t="str">
        <x:v>欠測値／ゼロ／平均／データ処理</x:v>
      </x:c>
    </x:row>
    <x:row r="346" ht="62" customHeight="1">
      <x:c r="A346" s="106" t="str">
        <x:v>INQ-095</x:v>
      </x:c>
      <x:c r="B346" s="106" t="str">
        <x:v>探究</x:v>
      </x:c>
      <x:c r="C346" s="106" t="str">
        <x:v>中2</x:v>
      </x:c>
      <x:c r="D346" s="106" t="str">
        <x:v>資料読解</x:v>
      </x:c>
      <x:c r="E346" s="106" t="str">
        <x:v>誤解対策</x:v>
      </x:c>
      <x:c r="F346" s="106" t="str">
        <x:v>A</x:v>
      </x:c>
      <x:c r="G346" s="106" t="n">
        <x:v>20</x:v>
      </x:c>
      <x:c r="H346" s="18" t="str">
        <x:v>相関だけで原因を決められない理由</x:v>
      </x:c>
      <x:c r="I346" s="18" t="str">
        <x:v>AがBを生むほか、BがAを生む、第三の要因が両方を変える、偶然という可能性がある。時間順序、仕組み、条件制御した実験などを追加して因果を検討する。つながり：相関／因果／交絡要因／対照実験（たいしょうじっけん）</x:v>
      </x:c>
      <x:c r="J346" s="18" t="str">
        <x:v>相関／因果／交絡要因／対照実験たいしょうじっけん&lt;／rt&gt;&lt;／ruby&gt;</x:v>
      </x:c>
    </x:row>
    <x:row r="347" ht="62" customHeight="1">
      <x:c r="A347" s="106" t="str">
        <x:v>PHY-050</x:v>
      </x:c>
      <x:c r="B347" s="106" t="str">
        <x:v>物理</x:v>
      </x:c>
      <x:c r="C347" s="106" t="str">
        <x:v>中2</x:v>
      </x:c>
      <x:c r="D347" s="106" t="str">
        <x:v>磁界</x:v>
      </x:c>
      <x:c r="E347" s="106" t="str">
        <x:v>用語</x:v>
      </x:c>
      <x:c r="F347" s="106" t="str">
        <x:v>A</x:v>
      </x:c>
      <x:c r="G347" s="106" t="str"/>
      <x:c r="H347" s="18" t="str">
        <x:v>磁界（じかい）</x:v>
      </x:c>
      <x:c r="I347" s="18" t="str">
        <x:v>磁力がはたらく空間。各点で方位磁針のN極が指す向きを磁界（じかい）の向きとする。磁力線（じりょくせん）は閉じた曲線で、磁石の外側ではN極から出てS極へ入り、密な場所ほど磁界が強い。つながり：磁力線／方位磁針／電流</x:v>
      </x:c>
      <x:c r="J347" s="18" t="str">
        <x:v>磁力線／方位磁針／電流</x:v>
      </x:c>
    </x:row>
    <x:row r="348" ht="62" customHeight="1">
      <x:c r="A348" s="106" t="str">
        <x:v>PHY-054</x:v>
      </x:c>
      <x:c r="B348" s="106" t="str">
        <x:v>物理</x:v>
      </x:c>
      <x:c r="C348" s="106" t="str">
        <x:v>中2</x:v>
      </x:c>
      <x:c r="D348" s="106" t="str">
        <x:v>磁界</x:v>
      </x:c>
      <x:c r="E348" s="106" t="str">
        <x:v>読図</x:v>
      </x:c>
      <x:c r="F348" s="106" t="str">
        <x:v>A</x:v>
      </x:c>
      <x:c r="G348" s="106" t="str"/>
      <x:c r="H348" s="18" t="str">
        <x:v>直線電流のまわりの磁界（じかい）</x:v>
      </x:c>
      <x:c r="I348" s="18" t="str">
        <x:v>直線導線のまわりには同心円状の磁界（じかい）ができる。右手の親指を電流の向き、曲げた指を磁界の向きに合わせる。電流が大きいほど、導線に近いほど強い。つながり：右ねじの法則／磁界／電流</x:v>
      </x:c>
      <x:c r="J348" s="18" t="str">
        <x:v>右ねじの法則／磁界／電流</x:v>
      </x:c>
    </x:row>
    <x:row r="349" ht="62" customHeight="1">
      <x:c r="A349" s="106" t="str">
        <x:v>PHY-055</x:v>
      </x:c>
      <x:c r="B349" s="106" t="str">
        <x:v>物理</x:v>
      </x:c>
      <x:c r="C349" s="106" t="str">
        <x:v>中2</x:v>
      </x:c>
      <x:c r="D349" s="106" t="str">
        <x:v>磁界</x:v>
      </x:c>
      <x:c r="E349" s="106" t="str">
        <x:v>読図</x:v>
      </x:c>
      <x:c r="F349" s="106" t="str">
        <x:v>A</x:v>
      </x:c>
      <x:c r="G349" s="106" t="str"/>
      <x:c r="H349" s="18" t="str">
        <x:v>コイルの磁界（じかい）</x:v>
      </x:c>
      <x:c r="I349" s="18" t="str">
        <x:v>コイルの各部分が作る磁界（じかい）が重なり、棒磁石に似た磁界になる。右手の指をコイルの電流方向に曲げたとき、親指がコイル内部の磁界・N極の向きを示す。つながり：電磁石／右手の法則／ソレノイド</x:v>
      </x:c>
      <x:c r="J349" s="18" t="str">
        <x:v>電磁石／右手の法則／ソレノイド</x:v>
      </x:c>
    </x:row>
    <x:row r="350" ht="62" customHeight="1">
      <x:c r="A350" s="106" t="str">
        <x:v>PHY-098</x:v>
      </x:c>
      <x:c r="B350" s="106" t="str">
        <x:v>物理</x:v>
      </x:c>
      <x:c r="C350" s="106" t="str">
        <x:v>中2</x:v>
      </x:c>
      <x:c r="D350" s="106" t="str">
        <x:v>電気</x:v>
      </x:c>
      <x:c r="E350" s="106" t="str">
        <x:v>用語</x:v>
      </x:c>
      <x:c r="F350" s="106" t="str">
        <x:v>A</x:v>
      </x:c>
      <x:c r="G350" s="106" t="str"/>
      <x:c r="H350" s="18" t="str">
        <x:v>静電気</x:v>
      </x:c>
      <x:c r="I350" s="18" t="str">
        <x:v>異なる物質をこすったときなどに電子が移動して、物体に電気がたまる現象。同符号の電気どうしは反発し、異符号どうしは引き合う。陽子（ようし）は原子核（げんしかく）から移動しない。つながり：電子／電荷／放電</x:v>
      </x:c>
      <x:c r="J350" s="18" t="str">
        <x:v>電子／電荷／放電</x:v>
      </x:c>
    </x:row>
    <x:row r="351" ht="62" customHeight="1">
      <x:c r="A351" s="106" t="str">
        <x:v>PHY-099</x:v>
      </x:c>
      <x:c r="B351" s="106" t="str">
        <x:v>物理</x:v>
      </x:c>
      <x:c r="C351" s="106" t="str">
        <x:v>中2</x:v>
      </x:c>
      <x:c r="D351" s="106" t="str">
        <x:v>電気</x:v>
      </x:c>
      <x:c r="E351" s="106" t="str">
        <x:v>用語</x:v>
      </x:c>
      <x:c r="F351" s="106" t="str">
        <x:v>B</x:v>
      </x:c>
      <x:c r="G351" s="106" t="str"/>
      <x:c r="H351" s="18" t="str">
        <x:v>放電</x:v>
      </x:c>
      <x:c r="I351" s="18" t="str">
        <x:v>たまった電気が空間や導体を通って急に移動する現象。火花放電、雷、真空放電などがある。乾燥時は電荷が逃げにくく静電気がたまりやすい。つながり：静電気／雷／電子</x:v>
      </x:c>
      <x:c r="J351" s="18" t="str">
        <x:v>静電気／雷／電子</x:v>
      </x:c>
    </x:row>
    <x:row r="352" ht="62" customHeight="1">
      <x:c r="A352" s="106" t="str">
        <x:v>PHY-100</x:v>
      </x:c>
      <x:c r="B352" s="106" t="str">
        <x:v>物理</x:v>
      </x:c>
      <x:c r="C352" s="106" t="str">
        <x:v>中2</x:v>
      </x:c>
      <x:c r="D352" s="106" t="str">
        <x:v>電気</x:v>
      </x:c>
      <x:c r="E352" s="106" t="str">
        <x:v>誤解対策</x:v>
      </x:c>
      <x:c r="F352" s="106" t="str">
        <x:v>A</x:v>
      </x:c>
      <x:c r="G352" s="106" t="str"/>
      <x:c r="H352" s="18" t="str">
        <x:v>電流の向きと電子の向き</x:v>
      </x:c>
      <x:c r="I352" s="18" t="str">
        <x:v>電流の向きは回路の外部で＋極から−極へと定義する。金属中の自由電子は−極から＋極へ移動し、電流と逆向き。定義が電子発見より先に決まったためである。つながり：自由電子／電流／極性</x:v>
      </x:c>
      <x:c r="J352" s="18" t="str">
        <x:v>自由電子／電流／極性</x:v>
      </x:c>
    </x:row>
    <x:row r="353" ht="62" customHeight="1">
      <x:c r="A353" s="106" t="str">
        <x:v>PHY-101</x:v>
      </x:c>
      <x:c r="B353" s="106" t="str">
        <x:v>物理</x:v>
      </x:c>
      <x:c r="C353" s="106" t="str">
        <x:v>中2</x:v>
      </x:c>
      <x:c r="D353" s="106" t="str">
        <x:v>電気</x:v>
      </x:c>
      <x:c r="E353" s="106" t="str">
        <x:v>用語</x:v>
      </x:c>
      <x:c r="F353" s="106" t="str">
        <x:v>A</x:v>
      </x:c>
      <x:c r="G353" s="106" t="n">
        <x:v>64</x:v>
      </x:c>
      <x:c r="H353" s="18" t="str">
        <x:v>電流</x:v>
      </x:c>
      <x:c r="I353" s="18" t="str">
        <x:v>電荷の流れの大きさ。単位はA（アンペア）で、1 A＝1000 mA。回路のある点を1秒間に通る電荷が多いほど電流が大きい。電流計で測る。つながり：アンペア／電流計／電子</x:v>
      </x:c>
      <x:c r="J353" s="18" t="str">
        <x:v>アンペア／電流計／電子</x:v>
      </x:c>
    </x:row>
    <x:row r="354" ht="62" customHeight="1">
      <x:c r="A354" s="106" t="str">
        <x:v>PHY-102</x:v>
      </x:c>
      <x:c r="B354" s="106" t="str">
        <x:v>物理</x:v>
      </x:c>
      <x:c r="C354" s="106" t="str">
        <x:v>中2</x:v>
      </x:c>
      <x:c r="D354" s="106" t="str">
        <x:v>電気</x:v>
      </x:c>
      <x:c r="E354" s="106" t="str">
        <x:v>用語</x:v>
      </x:c>
      <x:c r="F354" s="106" t="str">
        <x:v>A</x:v>
      </x:c>
      <x:c r="G354" s="106" t="n">
        <x:v>65</x:v>
      </x:c>
      <x:c r="H354" s="18" t="str">
        <x:v>電圧</x:v>
      </x:c>
      <x:c r="I354" s="18" t="str">
        <x:v>電流を流そうとするはたらきの大きさで、2点間の電位差。単位はV（ボルト）、電圧計で測る。電圧が同じでも抵抗が違えば電流は異なる。つながり：ボルト／電圧計／オームの法則</x:v>
      </x:c>
      <x:c r="J354" s="18" t="str">
        <x:v>ボルト／電圧計／オームの法則</x:v>
      </x:c>
    </x:row>
    <x:row r="355" ht="62" customHeight="1">
      <x:c r="A355" s="106" t="str">
        <x:v>PHY-103</x:v>
      </x:c>
      <x:c r="B355" s="106" t="str">
        <x:v>物理</x:v>
      </x:c>
      <x:c r="C355" s="106" t="str">
        <x:v>中2</x:v>
      </x:c>
      <x:c r="D355" s="106" t="str">
        <x:v>電気</x:v>
      </x:c>
      <x:c r="E355" s="106" t="str">
        <x:v>用語</x:v>
      </x:c>
      <x:c r="F355" s="106" t="str">
        <x:v>A</x:v>
      </x:c>
      <x:c r="G355" s="106" t="n">
        <x:v>66</x:v>
      </x:c>
      <x:c r="H355" s="18" t="str">
        <x:v>電気抵抗</x:v>
      </x:c>
      <x:c r="I355" s="18" t="str">
        <x:v>電流の流れにくさ。単位はΩ（オーム）。同じ電圧なら抵抗が大きいほど電流は小さい。抵抗器では電気エネルギーが熱へ変換される。つながり：オーム／電流／ジュール熱</x:v>
      </x:c>
      <x:c r="J355" s="18" t="str">
        <x:v>オーム／電流／ジュール熱</x:v>
      </x:c>
    </x:row>
    <x:row r="356" ht="62" customHeight="1">
      <x:c r="A356" s="106" t="str">
        <x:v>PHY-104</x:v>
      </x:c>
      <x:c r="B356" s="106" t="str">
        <x:v>物理</x:v>
      </x:c>
      <x:c r="C356" s="106" t="str">
        <x:v>中2</x:v>
      </x:c>
      <x:c r="D356" s="106" t="str">
        <x:v>電気</x:v>
      </x:c>
      <x:c r="E356" s="106" t="str">
        <x:v>計算</x:v>
      </x:c>
      <x:c r="F356" s="106" t="str">
        <x:v>A</x:v>
      </x:c>
      <x:c r="G356" s="106" t="n">
        <x:v>67</x:v>
      </x:c>
      <x:c r="H356" s="18" t="str">
        <x:v>オームの法則</x:v>
      </x:c>
      <x:c r="I356" s="18" t="str">
        <x:v>導体の温度などが一定なら、流れる電流Iは加えた電圧Vに比例する。V＝IR、I＝V/R、R＝V/I。VはV、IはA、RはΩにそろえる。つながり：電圧／電流／抵抗</x:v>
      </x:c>
      <x:c r="J356" s="18" t="str">
        <x:v>電圧／電流／抵抗</x:v>
      </x:c>
    </x:row>
    <x:row r="357" ht="62" customHeight="1">
      <x:c r="A357" s="106" t="str">
        <x:v>PHY-105</x:v>
      </x:c>
      <x:c r="B357" s="106" t="str">
        <x:v>物理</x:v>
      </x:c>
      <x:c r="C357" s="106" t="str">
        <x:v>中2</x:v>
      </x:c>
      <x:c r="D357" s="106" t="str">
        <x:v>電気</x:v>
      </x:c>
      <x:c r="E357" s="106" t="str">
        <x:v>読図</x:v>
      </x:c>
      <x:c r="F357" s="106" t="str">
        <x:v>A</x:v>
      </x:c>
      <x:c r="G357" s="106" t="str"/>
      <x:c r="H357" s="18" t="str">
        <x:v>V-Iグラフ</x:v>
      </x:c>
      <x:c r="I357" s="18" t="str">
        <x:v>オームの法則に従う抵抗器では、横軸I・縦軸Vなら原点を通る直線で、傾きV/Iが抵抗。横軸V・縦軸Iなら傾きは1/Rなので軸を必ず確認する。つながり：オームの法則／傾き／抵抗</x:v>
      </x:c>
      <x:c r="J357" s="18" t="str">
        <x:v>オームの法則／傾き／抵抗</x:v>
      </x:c>
    </x:row>
    <x:row r="358" ht="62" customHeight="1">
      <x:c r="A358" s="106" t="str">
        <x:v>PHY-106</x:v>
      </x:c>
      <x:c r="B358" s="106" t="str">
        <x:v>物理</x:v>
      </x:c>
      <x:c r="C358" s="106" t="str">
        <x:v>中2</x:v>
      </x:c>
      <x:c r="D358" s="106" t="str">
        <x:v>電気</x:v>
      </x:c>
      <x:c r="E358" s="106" t="str">
        <x:v>因果</x:v>
      </x:c>
      <x:c r="F358" s="106" t="str">
        <x:v>B</x:v>
      </x:c>
      <x:c r="G358" s="106" t="str"/>
      <x:c r="H358" s="18" t="str">
        <x:v>導線の抵抗を変える条件</x:v>
      </x:c>
      <x:c r="I358" s="18" t="str">
        <x:v>同じ材質・温度なら、導線が長いほど抵抗は大きく、断面積が大きいほど小さい。材質や温度でも変わる。太い導線は電流の通り道が広い。つながり：抵抗／長さ／断面積</x:v>
      </x:c>
      <x:c r="J358" s="18" t="str">
        <x:v>抵抗／長さ／断面積</x:v>
      </x:c>
    </x:row>
    <x:row r="359" ht="62" customHeight="1">
      <x:c r="A359" s="106" t="str">
        <x:v>PHY-107</x:v>
      </x:c>
      <x:c r="B359" s="106" t="str">
        <x:v>物理</x:v>
      </x:c>
      <x:c r="C359" s="106" t="str">
        <x:v>中2</x:v>
      </x:c>
      <x:c r="D359" s="106" t="str">
        <x:v>電気</x:v>
      </x:c>
      <x:c r="E359" s="106" t="str">
        <x:v>誤解対策</x:v>
      </x:c>
      <x:c r="F359" s="106" t="str">
        <x:v>A</x:v>
      </x:c>
      <x:c r="G359" s="106" t="n">
        <x:v>68</x:v>
      </x:c>
      <x:c r="H359" s="18" t="str">
        <x:v>直列回路の電流</x:v>
      </x:c>
      <x:c r="I359" s="18" t="str">
        <x:v>分かれ道がないため、回路のどの点でも電流は等しい。I＝I₁＝I₂。各抵抗で電流が「使われて減る」のではなく、電気エネルギーが変換される。つながり：直列回路／電圧／電荷保存</x:v>
      </x:c>
      <x:c r="J359" s="18" t="str">
        <x:v>直列回路／電圧／電荷保存</x:v>
      </x:c>
    </x:row>
    <x:row r="360" ht="62" customHeight="1">
      <x:c r="A360" s="106" t="str">
        <x:v>PHY-108</x:v>
      </x:c>
      <x:c r="B360" s="106" t="str">
        <x:v>物理</x:v>
      </x:c>
      <x:c r="C360" s="106" t="str">
        <x:v>中2</x:v>
      </x:c>
      <x:c r="D360" s="106" t="str">
        <x:v>電気</x:v>
      </x:c>
      <x:c r="E360" s="106" t="str">
        <x:v>計算</x:v>
      </x:c>
      <x:c r="F360" s="106" t="str">
        <x:v>A</x:v>
      </x:c>
      <x:c r="G360" s="106" t="n">
        <x:v>84</x:v>
      </x:c>
      <x:c r="H360" s="18" t="str">
        <x:v>直列回路の電圧</x:v>
      </x:c>
      <x:c r="I360" s="18" t="str">
        <x:v>電源電圧は各抵抗にかかる電圧の和。V＝V₁＋V₂。直列の各抵抗には同じ電流が流れるため、抵抗が大きい部分ほど電圧も大きく分配される。つながり：直列回路／電圧分配／オームの法則</x:v>
      </x:c>
      <x:c r="J360" s="18" t="str">
        <x:v>直列回路／電圧分配／オームの法則</x:v>
      </x:c>
    </x:row>
    <x:row r="361" ht="62" customHeight="1">
      <x:c r="A361" s="106" t="str">
        <x:v>PHY-109</x:v>
      </x:c>
      <x:c r="B361" s="106" t="str">
        <x:v>物理</x:v>
      </x:c>
      <x:c r="C361" s="106" t="str">
        <x:v>中2</x:v>
      </x:c>
      <x:c r="D361" s="106" t="str">
        <x:v>電気</x:v>
      </x:c>
      <x:c r="E361" s="106" t="str">
        <x:v>計算</x:v>
      </x:c>
      <x:c r="F361" s="106" t="str">
        <x:v>A</x:v>
      </x:c>
      <x:c r="G361" s="106" t="str"/>
      <x:c r="H361" s="18" t="str">
        <x:v>直列回路の合成抵抗</x:v>
      </x:c>
      <x:c r="I361" s="18" t="str">
        <x:v>直列につないだ抵抗の合成抵抗はR＝R₁＋R₂＋…。抵抗を増やすほど全体の抵抗は大きくなり、同じ電源電圧なら回路全体の電流は小さくなる。つながり：直列回路／オームの法則／電流</x:v>
      </x:c>
      <x:c r="J361" s="18" t="str">
        <x:v>直列回路／オームの法則／電流</x:v>
      </x:c>
    </x:row>
    <x:row r="362" ht="62" customHeight="1">
      <x:c r="A362" s="106" t="str">
        <x:v>PHY-110</x:v>
      </x:c>
      <x:c r="B362" s="106" t="str">
        <x:v>物理</x:v>
      </x:c>
      <x:c r="C362" s="106" t="str">
        <x:v>中2</x:v>
      </x:c>
      <x:c r="D362" s="106" t="str">
        <x:v>電気</x:v>
      </x:c>
      <x:c r="E362" s="106" t="str">
        <x:v>計算</x:v>
      </x:c>
      <x:c r="F362" s="106" t="str">
        <x:v>A</x:v>
      </x:c>
      <x:c r="G362" s="106" t="n">
        <x:v>85</x:v>
      </x:c>
      <x:c r="H362" s="18" t="str">
        <x:v>並列回路の電流</x:v>
      </x:c>
      <x:c r="I362" s="18" t="str">
        <x:v>分岐前の電流は各枝を流れる電流の和。I＝I₁＋I₂。抵抗が小さい枝ほど大きな電流が流れる。合流後は再び枝電流の合計になる。つながり：並列回路／分岐／電荷保存</x:v>
      </x:c>
      <x:c r="J362" s="18" t="str">
        <x:v>並列回路／分岐／電荷保存</x:v>
      </x:c>
    </x:row>
    <x:row r="363" ht="62" customHeight="1">
      <x:c r="A363" s="106" t="str">
        <x:v>PHY-111</x:v>
      </x:c>
      <x:c r="B363" s="106" t="str">
        <x:v>物理</x:v>
      </x:c>
      <x:c r="C363" s="106" t="str">
        <x:v>中2</x:v>
      </x:c>
      <x:c r="D363" s="106" t="str">
        <x:v>電気</x:v>
      </x:c>
      <x:c r="E363" s="106" t="str">
        <x:v>計算</x:v>
      </x:c>
      <x:c r="F363" s="106" t="str">
        <x:v>A</x:v>
      </x:c>
      <x:c r="G363" s="106" t="n">
        <x:v>86</x:v>
      </x:c>
      <x:c r="H363" s="18" t="str">
        <x:v>並列回路の電圧</x:v>
      </x:c>
      <x:c r="I363" s="18" t="str">
        <x:v>各枝の両端が同じ2点につながるため、各枝と電源の電圧は等しい。V＝V₁＝V₂。家庭の器具が並列なのは、各器具に一定の電圧をかけ独立に使うため。つながり：並列回路／家庭回路／電流</x:v>
      </x:c>
      <x:c r="J363" s="18" t="str">
        <x:v>並列回路／家庭回路／電流</x:v>
      </x:c>
    </x:row>
    <x:row r="364" ht="62" customHeight="1">
      <x:c r="A364" s="106" t="str">
        <x:v>PHY-112</x:v>
      </x:c>
      <x:c r="B364" s="106" t="str">
        <x:v>物理</x:v>
      </x:c>
      <x:c r="C364" s="106" t="str">
        <x:v>中2</x:v>
      </x:c>
      <x:c r="D364" s="106" t="str">
        <x:v>電気</x:v>
      </x:c>
      <x:c r="E364" s="106" t="str">
        <x:v>計算</x:v>
      </x:c>
      <x:c r="F364" s="106" t="str">
        <x:v>A</x:v>
      </x:c>
      <x:c r="G364" s="106" t="str"/>
      <x:c r="H364" s="18" t="str">
        <x:v>並列回路の合成抵抗</x:v>
      </x:c>
      <x:c r="I364" s="18" t="str">
        <x:v>2抵抗なら1/R＝1/R₁＋1/R₂、またはR＝R₁R₂/(R₁＋R₂)。合成抵抗は必ず最小の枝抵抗より小さい。等しいRを2本並列ならR/2。つながり：並列回路／合成抵抗／オームの法則</x:v>
      </x:c>
      <x:c r="J364" s="18" t="str">
        <x:v>並列回路／合成抵抗／オームの法則</x:v>
      </x:c>
    </x:row>
    <x:row r="365" ht="62" customHeight="1">
      <x:c r="A365" s="106" t="str">
        <x:v>PHY-113</x:v>
      </x:c>
      <x:c r="B365" s="106" t="str">
        <x:v>物理</x:v>
      </x:c>
      <x:c r="C365" s="106" t="str">
        <x:v>中2</x:v>
      </x:c>
      <x:c r="D365" s="106" t="str">
        <x:v>電気</x:v>
      </x:c>
      <x:c r="E365" s="106" t="str">
        <x:v>誤解対策</x:v>
      </x:c>
      <x:c r="F365" s="106" t="str">
        <x:v>A</x:v>
      </x:c>
      <x:c r="G365" s="106" t="str"/>
      <x:c r="H365" s="18" t="str">
        <x:v>直列・並列の合成抵抗の見分け</x:v>
      </x:c>
      <x:c r="I365" s="18" t="str">
        <x:v>直列は大きくなるので足し算、並列は通り道が増えるので最小の抵抗より小さくなる。この大小関係を使えば計算ミスを検出できる。つながり：直列回路／並列回路／合成抵抗</x:v>
      </x:c>
      <x:c r="J365" s="18" t="str">
        <x:v>直列回路／並列回路／合成抵抗</x:v>
      </x:c>
    </x:row>
    <x:row r="366" ht="62" customHeight="1">
      <x:c r="A366" s="106" t="str">
        <x:v>PHY-114</x:v>
      </x:c>
      <x:c r="B366" s="106" t="str">
        <x:v>物理</x:v>
      </x:c>
      <x:c r="C366" s="106" t="str">
        <x:v>中2</x:v>
      </x:c>
      <x:c r="D366" s="106" t="str">
        <x:v>電気</x:v>
      </x:c>
      <x:c r="E366" s="106" t="str">
        <x:v>実験</x:v>
      </x:c>
      <x:c r="F366" s="106" t="str">
        <x:v>A</x:v>
      </x:c>
      <x:c r="G366" s="106" t="n">
        <x:v>87</x:v>
      </x:c>
      <x:c r="H366" s="18" t="str">
        <x:v>電流計のつなぎ方</x:v>
      </x:c>
      <x:c r="I366" s="18" t="str">
        <x:v>測りたい部分に直列につなぎ、＋端子から電流を入れる。予想できないときは最大の−端子から始める。電流計を電源へ直接並列につなぐと大電流が流れ危険。つながり：直列接続／端子／過電流</x:v>
      </x:c>
      <x:c r="J366" s="18" t="str">
        <x:v>直列接続／端子／過電流</x:v>
      </x:c>
    </x:row>
    <x:row r="367" ht="62" customHeight="1">
      <x:c r="A367" s="106" t="str">
        <x:v>PHY-115</x:v>
      </x:c>
      <x:c r="B367" s="106" t="str">
        <x:v>物理</x:v>
      </x:c>
      <x:c r="C367" s="106" t="str">
        <x:v>中2</x:v>
      </x:c>
      <x:c r="D367" s="106" t="str">
        <x:v>電気</x:v>
      </x:c>
      <x:c r="E367" s="106" t="str">
        <x:v>実験</x:v>
      </x:c>
      <x:c r="F367" s="106" t="str">
        <x:v>A</x:v>
      </x:c>
      <x:c r="G367" s="106" t="n">
        <x:v>88</x:v>
      </x:c>
      <x:c r="H367" s="18" t="str">
        <x:v>電圧計のつなぎ方</x:v>
      </x:c>
      <x:c r="I367" s="18" t="str">
        <x:v>電圧を測りたい部分の両端に並列につなぎ、＋側を＋端子へ入れる。内部抵抗が大きく、回路を流れる電流をほとんど変えない。予想できないときは最大レンジから。つながり：並列接続／端子／電位差</x:v>
      </x:c>
      <x:c r="J367" s="18" t="str">
        <x:v>並列接続／端子／電位差</x:v>
      </x:c>
    </x:row>
    <x:row r="368" ht="62" customHeight="1">
      <x:c r="A368" s="106" t="str">
        <x:v>PHY-116</x:v>
      </x:c>
      <x:c r="B368" s="106" t="str">
        <x:v>物理</x:v>
      </x:c>
      <x:c r="C368" s="106" t="str">
        <x:v>中2</x:v>
      </x:c>
      <x:c r="D368" s="106" t="str">
        <x:v>電気</x:v>
      </x:c>
      <x:c r="E368" s="106" t="str">
        <x:v>読図</x:v>
      </x:c>
      <x:c r="F368" s="106" t="str">
        <x:v>A</x:v>
      </x:c>
      <x:c r="G368" s="106" t="str"/>
      <x:c r="H368" s="18" t="str">
        <x:v>電流計・電圧計の目盛り</x:v>
      </x:c>
      <x:c r="I368" s="18" t="str">
        <x:v>接続した端子の最大値に合わせて尺度を読み替える。目盛り板が0〜3で3 A端子ならそのまま、300 mA端子なら「3」を300 mAと読む。単位換算にも注意。つながり：測定レンジ／mA／目盛り</x:v>
      </x:c>
      <x:c r="J368" s="18" t="str">
        <x:v>測定レンジ／mA／目盛り</x:v>
      </x:c>
    </x:row>
    <x:row r="369" ht="62" customHeight="1">
      <x:c r="A369" s="106" t="str">
        <x:v>PHY-117</x:v>
      </x:c>
      <x:c r="B369" s="106" t="str">
        <x:v>物理</x:v>
      </x:c>
      <x:c r="C369" s="106" t="str">
        <x:v>中2</x:v>
      </x:c>
      <x:c r="D369" s="106" t="str">
        <x:v>電気</x:v>
      </x:c>
      <x:c r="E369" s="106" t="str">
        <x:v>読図</x:v>
      </x:c>
      <x:c r="F369" s="106" t="str">
        <x:v>A</x:v>
      </x:c>
      <x:c r="G369" s="106" t="str"/>
      <x:c r="H369" s="18" t="str">
        <x:v>回路図の接続点</x:v>
      </x:c>
      <x:c r="I369" s="18" t="str">
        <x:v>導線の交点に●があれば接続、単に交差して●がなければ通常は接続していない。部品の位置をずらしても、同じ節点どうしがつながれば同じ回路である。つながり：回路図／直列／並列</x:v>
      </x:c>
      <x:c r="J369" s="18" t="str">
        <x:v>回路図／直列／並列</x:v>
      </x:c>
    </x:row>
    <x:row r="370" ht="62" customHeight="1">
      <x:c r="A370" s="106" t="str">
        <x:v>PHY-118</x:v>
      </x:c>
      <x:c r="B370" s="106" t="str">
        <x:v>物理</x:v>
      </x:c>
      <x:c r="C370" s="106" t="str">
        <x:v>中2</x:v>
      </x:c>
      <x:c r="D370" s="106" t="str">
        <x:v>電気</x:v>
      </x:c>
      <x:c r="E370" s="106" t="str">
        <x:v>計算</x:v>
      </x:c>
      <x:c r="F370" s="106" t="str">
        <x:v>A</x:v>
      </x:c>
      <x:c r="G370" s="106" t="str"/>
      <x:c r="H370" s="18" t="str">
        <x:v>複雑な回路の解き順</x:v>
      </x:c>
      <x:c r="I370" s="18" t="str">
        <x:v>まず直列・並列のまとまりを見つけて合成抵抗を求め、全体電流を出す。次に並列部の電圧、枝電流へ戻る。求めた電流・電圧が和や等しさを満たすか検算する。つながり：合成抵抗／オームの法則／検算</x:v>
      </x:c>
      <x:c r="J370" s="18" t="str">
        <x:v>合成抵抗／オームの法則／検算</x:v>
      </x:c>
    </x:row>
    <x:row r="371" ht="62" customHeight="1">
      <x:c r="A371" s="106" t="str">
        <x:v>PHY-119</x:v>
      </x:c>
      <x:c r="B371" s="106" t="str">
        <x:v>物理</x:v>
      </x:c>
      <x:c r="C371" s="106" t="str">
        <x:v>中2</x:v>
      </x:c>
      <x:c r="D371" s="106" t="str">
        <x:v>電気</x:v>
      </x:c>
      <x:c r="E371" s="106" t="str">
        <x:v>誤解対策</x:v>
      </x:c>
      <x:c r="F371" s="106" t="str">
        <x:v>B</x:v>
      </x:c>
      <x:c r="G371" s="106" t="str"/>
      <x:c r="H371" s="18" t="str">
        <x:v>電流が流れない枝</x:v>
      </x:c>
      <x:c r="I371" s="18" t="str">
        <x:v>スイッチが開いている枝には閉じた経路がなく電流は0。導線で抵抗器を迂回する短絡路があると、理想的には抵抗器の両端電圧が0となり、ほぼ電流が流れない。つながり：開回路／短絡／電位差</x:v>
      </x:c>
      <x:c r="J371" s="18" t="str">
        <x:v>開回路／短絡／電位差</x:v>
      </x:c>
    </x:row>
    <x:row r="372" ht="62" customHeight="1">
      <x:c r="A372" s="106" t="str">
        <x:v>PHY-120</x:v>
      </x:c>
      <x:c r="B372" s="106" t="str">
        <x:v>物理</x:v>
      </x:c>
      <x:c r="C372" s="106" t="str">
        <x:v>中2</x:v>
      </x:c>
      <x:c r="D372" s="106" t="str">
        <x:v>電気</x:v>
      </x:c>
      <x:c r="E372" s="106" t="str">
        <x:v>読図</x:v>
      </x:c>
      <x:c r="F372" s="106" t="str">
        <x:v>B</x:v>
      </x:c>
      <x:c r="G372" s="106" t="str"/>
      <x:c r="H372" s="18" t="str">
        <x:v>豆電球のV-I特性</x:v>
      </x:c>
      <x:c r="I372" s="18" t="str">
        <x:v>豆電球は電流が増えるとフィラメントが高温になり抵抗も増えるため、V-Iグラフは直線にならない。常に一定抵抗として扱える抵抗器との違いに注意。つながり：フィラメント／抵抗／ジュール熱</x:v>
      </x:c>
      <x:c r="J372" s="18" t="str">
        <x:v>フィラメント／抵抗／ジュール熱</x:v>
      </x:c>
    </x:row>
    <x:row r="373" ht="62" customHeight="1">
      <x:c r="A373" s="106" t="str">
        <x:v>PHY-121</x:v>
      </x:c>
      <x:c r="B373" s="106" t="str">
        <x:v>物理</x:v>
      </x:c>
      <x:c r="C373" s="106" t="str">
        <x:v>中2</x:v>
      </x:c>
      <x:c r="D373" s="106" t="str">
        <x:v>電気</x:v>
      </x:c>
      <x:c r="E373" s="106" t="str">
        <x:v>計算</x:v>
      </x:c>
      <x:c r="F373" s="106" t="str">
        <x:v>A</x:v>
      </x:c>
      <x:c r="G373" s="106" t="n">
        <x:v>104</x:v>
      </x:c>
      <x:c r="H373" s="18" t="str">
        <x:v>電力</x:v>
      </x:c>
      <x:c r="I373" s="18" t="str">
        <x:v>電気器具が1秒あたりに変換する電気エネルギー。電力P＝電圧V×電流I、単位はW。1 W＝1 J/s。同じ時間なら電力が大きいほど使う電気エネルギーも大きい。つながり：ワット／電力量／電圧</x:v>
      </x:c>
      <x:c r="J373" s="18" t="str">
        <x:v>ワット／電力量／電圧</x:v>
      </x:c>
    </x:row>
    <x:row r="374" ht="62" customHeight="1">
      <x:c r="A374" s="106" t="str">
        <x:v>PHY-122</x:v>
      </x:c>
      <x:c r="B374" s="106" t="str">
        <x:v>物理</x:v>
      </x:c>
      <x:c r="C374" s="106" t="str">
        <x:v>中2</x:v>
      </x:c>
      <x:c r="D374" s="106" t="str">
        <x:v>電気</x:v>
      </x:c>
      <x:c r="E374" s="106" t="str">
        <x:v>計算</x:v>
      </x:c>
      <x:c r="F374" s="106" t="str">
        <x:v>B</x:v>
      </x:c>
      <x:c r="G374" s="106" t="str"/>
      <x:c r="H374" s="18" t="str">
        <x:v>電力と抵抗の式</x:v>
      </x:c>
      <x:c r="I374" s="18" t="str">
        <x:v>P＝VIにV＝IRを組み合わせるとP＝I²R、P＝V²/R。同じ電流なら抵抗が大きいほど発熱電力が大きく、同じ電圧なら抵抗が小さいほど大きい。条件を確認する。つながり：オームの法則／ジュール熱／電力</x:v>
      </x:c>
      <x:c r="J374" s="18" t="str">
        <x:v>オームの法則／ジュール熱／電力</x:v>
      </x:c>
    </x:row>
    <x:row r="375" ht="62" customHeight="1">
      <x:c r="A375" s="106" t="str">
        <x:v>PHY-123</x:v>
      </x:c>
      <x:c r="B375" s="106" t="str">
        <x:v>物理</x:v>
      </x:c>
      <x:c r="C375" s="106" t="str">
        <x:v>中2</x:v>
      </x:c>
      <x:c r="D375" s="106" t="str">
        <x:v>電気</x:v>
      </x:c>
      <x:c r="E375" s="106" t="str">
        <x:v>計算</x:v>
      </x:c>
      <x:c r="F375" s="106" t="str">
        <x:v>A</x:v>
      </x:c>
      <x:c r="G375" s="106" t="str"/>
      <x:c r="H375" s="18" t="str">
        <x:v>電力量</x:v>
      </x:c>
      <x:c r="I375" s="18" t="str">
        <x:v>一定の電力を時間tだけ使ったときのエネルギーで、電力量＝電力×時間。Wと秒ならJ、Wと時間ならWh。1 Wh＝3600 J。つながり：電力／ジュール／kWh</x:v>
      </x:c>
      <x:c r="J375" s="18" t="str">
        <x:v>電力／ジュール／kWh</x:v>
      </x:c>
    </x:row>
    <x:row r="376" ht="62" customHeight="1">
      <x:c r="A376" s="106" t="str">
        <x:v>PHY-124</x:v>
      </x:c>
      <x:c r="B376" s="106" t="str">
        <x:v>物理</x:v>
      </x:c>
      <x:c r="C376" s="106" t="str">
        <x:v>中2</x:v>
      </x:c>
      <x:c r="D376" s="106" t="str">
        <x:v>電気</x:v>
      </x:c>
      <x:c r="E376" s="106" t="str">
        <x:v>計算</x:v>
      </x:c>
      <x:c r="F376" s="106" t="str">
        <x:v>A</x:v>
      </x:c>
      <x:c r="G376" s="106" t="str"/>
      <x:c r="H376" s="18" t="str">
        <x:v>キロワット時</x:v>
      </x:c>
      <x:c r="I376" s="18" t="str">
        <x:v>家庭の電力量に使う単位kWh。1 kWh＝1000 W×3600 s＝3.6×10⁶ J。例：500 Wを2時間使うと1 kWh。kWとkWhを混同しない。つながり：電力量／電気料金／電力</x:v>
      </x:c>
      <x:c r="J376" s="18" t="str">
        <x:v>電力量／電気料金／電力</x:v>
      </x:c>
    </x:row>
    <x:row r="377" ht="62" customHeight="1">
      <x:c r="A377" s="106" t="str">
        <x:v>PHY-125</x:v>
      </x:c>
      <x:c r="B377" s="106" t="str">
        <x:v>物理</x:v>
      </x:c>
      <x:c r="C377" s="106" t="str">
        <x:v>中2</x:v>
      </x:c>
      <x:c r="D377" s="106" t="str">
        <x:v>電気</x:v>
      </x:c>
      <x:c r="E377" s="106" t="str">
        <x:v>計算</x:v>
      </x:c>
      <x:c r="F377" s="106" t="str">
        <x:v>A</x:v>
      </x:c>
      <x:c r="G377" s="106" t="str"/>
      <x:c r="H377" s="18" t="str">
        <x:v>ジュール熱</x:v>
      </x:c>
      <x:c r="I377" s="18" t="str">
        <x:v>電流が抵抗を通ると生じる熱。I・Rなどを一定とみなせるとき、熱量Q＝電力P×時間t＝VIt＝I²Rtで、単位はJ。calを使う問題では与えられた換算に従う。つながり：発熱／電力／抵抗</x:v>
      </x:c>
      <x:c r="J377" s="18" t="str">
        <x:v>発熱／電力／抵抗</x:v>
      </x:c>
    </x:row>
    <x:row r="378" ht="62" customHeight="1">
      <x:c r="A378" s="106" t="str">
        <x:v>PHY-126</x:v>
      </x:c>
      <x:c r="B378" s="106" t="str">
        <x:v>物理</x:v>
      </x:c>
      <x:c r="C378" s="106" t="str">
        <x:v>中2</x:v>
      </x:c>
      <x:c r="D378" s="106" t="str">
        <x:v>電気</x:v>
      </x:c>
      <x:c r="E378" s="106" t="str">
        <x:v>因果</x:v>
      </x:c>
      <x:c r="F378" s="106" t="str">
        <x:v>B</x:v>
      </x:c>
      <x:c r="G378" s="106" t="str"/>
      <x:c r="H378" s="18" t="str">
        <x:v>水温上昇と電熱線</x:v>
      </x:c>
      <x:c r="I378" s="18" t="str">
        <x:v>電熱線が与えた熱量が同じなら、水の質量が小さいほど温度上昇は大きい。実際は容器や空気へ熱が逃げるため、電気エネルギーのすべてが水の温度上昇に使われない。つながり：ジュール熱／熱容量／効率</x:v>
      </x:c>
      <x:c r="J378" s="18" t="str">
        <x:v>ジュール熱／熱容量／効率</x:v>
      </x:c>
    </x:row>
    <x:row r="379" ht="62" customHeight="1">
      <x:c r="A379" s="106" t="str">
        <x:v>PHY-127</x:v>
      </x:c>
      <x:c r="B379" s="106" t="str">
        <x:v>物理</x:v>
      </x:c>
      <x:c r="C379" s="106" t="str">
        <x:v>中2</x:v>
      </x:c>
      <x:c r="D379" s="106" t="str">
        <x:v>電気</x:v>
      </x:c>
      <x:c r="E379" s="106" t="str">
        <x:v>因果</x:v>
      </x:c>
      <x:c r="F379" s="106" t="str">
        <x:v>A</x:v>
      </x:c>
      <x:c r="G379" s="106" t="str"/>
      <x:c r="H379" s="18" t="str">
        <x:v>家庭用電気器具の並列接続</x:v>
      </x:c>
      <x:c r="I379" s="18" t="str">
        <x:v>各器具に同じ100 Vがかかり、別々に入切できるよう並列接続される。器具を増やすと全体の合成抵抗は下がり、幹線の合計電流は増える。つながり：並列回路／100V／過電流</x:v>
      </x:c>
      <x:c r="J379" s="18" t="str">
        <x:v>並列回路／100V／過電流</x:v>
      </x:c>
    </x:row>
    <x:row r="380" ht="62" customHeight="1">
      <x:c r="A380" s="106" t="str">
        <x:v>PHY-128</x:v>
      </x:c>
      <x:c r="B380" s="106" t="str">
        <x:v>物理</x:v>
      </x:c>
      <x:c r="C380" s="106" t="str">
        <x:v>中2</x:v>
      </x:c>
      <x:c r="D380" s="106" t="str">
        <x:v>電気</x:v>
      </x:c>
      <x:c r="E380" s="106" t="str">
        <x:v>用語</x:v>
      </x:c>
      <x:c r="F380" s="106" t="str">
        <x:v>A</x:v>
      </x:c>
      <x:c r="G380" s="106" t="str"/>
      <x:c r="H380" s="18" t="str">
        <x:v>ブレーカー</x:v>
      </x:c>
      <x:c r="I380" s="18" t="str">
        <x:v>回路に許容量を超える電流が流れたとき、自動的に回路を切って発熱・火災を防ぐ装置。多数の高電力器具を同時に使うと合計電流が大きくなり作動する。つながり：過電流／電力／家庭回路</x:v>
      </x:c>
      <x:c r="J380" s="18" t="str">
        <x:v>過電流／電力／家庭回路</x:v>
      </x:c>
    </x:row>
    <x:row r="381" ht="62" customHeight="1">
      <x:c r="A381" s="106" t="str">
        <x:v>PHY-129</x:v>
      </x:c>
      <x:c r="B381" s="106" t="str">
        <x:v>物理</x:v>
      </x:c>
      <x:c r="C381" s="106" t="str">
        <x:v>中2</x:v>
      </x:c>
      <x:c r="D381" s="106" t="str">
        <x:v>電気</x:v>
      </x:c>
      <x:c r="E381" s="106" t="str">
        <x:v>計算</x:v>
      </x:c>
      <x:c r="F381" s="106" t="str">
        <x:v>A</x:v>
      </x:c>
      <x:c r="G381" s="106" t="str"/>
      <x:c r="H381" s="18" t="str">
        <x:v>定格表示</x:v>
      </x:c>
      <x:c r="I381" s="18" t="str">
        <x:v>「100 V・1200 W」は100 Vで正しく使うと1200 Wを消費するという意味。このとき電流はI＝P/V＝12 A。定格電圧と違う電圧での使用は性能低下や破損の原因。つながり：電力／電圧／電流</x:v>
      </x:c>
      <x:c r="J381" s="18" t="str">
        <x:v>電力／電圧／電流</x:v>
      </x:c>
    </x:row>
    <x:row r="382" ht="62" customHeight="1">
      <x:c r="A382" s="106" t="str">
        <x:v>PHY-130</x:v>
      </x:c>
      <x:c r="B382" s="106" t="str">
        <x:v>物理</x:v>
      </x:c>
      <x:c r="C382" s="106" t="str">
        <x:v>中2</x:v>
      </x:c>
      <x:c r="D382" s="106" t="str">
        <x:v>電気</x:v>
      </x:c>
      <x:c r="E382" s="106" t="str">
        <x:v>比較</x:v>
      </x:c>
      <x:c r="F382" s="106" t="str">
        <x:v>B</x:v>
      </x:c>
      <x:c r="G382" s="106" t="str"/>
      <x:c r="H382" s="18" t="str">
        <x:v>直流と交流</x:v>
      </x:c>
      <x:c r="I382" s="18" t="str">
        <x:v>直流は電流の向きが一定で、乾電池などが供給する。交流は向きと大きさが周期的に変化し、家庭のコンセントでは日本で東日本50 Hz・西日本60 Hzが主。つながり：乾電池／周波数／発電機</x:v>
      </x:c>
      <x:c r="J382" s="18" t="str">
        <x:v>乾電池／周波数／発電機</x:v>
      </x:c>
    </x:row>
    <x:row r="383" ht="62" customHeight="1">
      <x:c r="A383" s="106" t="str">
        <x:v>PHY-131</x:v>
      </x:c>
      <x:c r="B383" s="106" t="str">
        <x:v>物理</x:v>
      </x:c>
      <x:c r="C383" s="106" t="str">
        <x:v>中2</x:v>
      </x:c>
      <x:c r="D383" s="106" t="str">
        <x:v>電流と磁界</x:v>
      </x:c>
      <x:c r="E383" s="106" t="str">
        <x:v>因果</x:v>
      </x:c>
      <x:c r="F383" s="106" t="str">
        <x:v>A</x:v>
      </x:c>
      <x:c r="G383" s="106" t="str"/>
      <x:c r="H383" s="18" t="str">
        <x:v>電流が磁界（じかい）から受ける力</x:v>
      </x:c>
      <x:c r="I383" s="18" t="str">
        <x:v>電流が磁界（じかい）と平行でないとき、導線は電流と磁界の両方に垂直な向きに力を受ける。力は直角のとき最大、平行のとき0。電流か磁界だけを逆にすると力も逆になる。つながり：モーター／磁界／電流</x:v>
      </x:c>
      <x:c r="J383" s="18" t="str">
        <x:v>モーター／磁界／電流</x:v>
      </x:c>
    </x:row>
    <x:row r="384" ht="62" customHeight="1">
      <x:c r="A384" s="106" t="str">
        <x:v>PHY-132</x:v>
      </x:c>
      <x:c r="B384" s="106" t="str">
        <x:v>物理</x:v>
      </x:c>
      <x:c r="C384" s="106" t="str">
        <x:v>中2</x:v>
      </x:c>
      <x:c r="D384" s="106" t="str">
        <x:v>電流と磁界</x:v>
      </x:c>
      <x:c r="E384" s="106" t="str">
        <x:v>因果</x:v>
      </x:c>
      <x:c r="F384" s="106" t="str">
        <x:v>B</x:v>
      </x:c>
      <x:c r="G384" s="106" t="str"/>
      <x:c r="H384" s="18" t="str">
        <x:v>電磁力を大きくする方法</x:v>
      </x:c>
      <x:c r="I384" s="18" t="str">
        <x:v>流す電流を大きくする、磁界（じかい）を強くする、磁界内の導線を長くする。コイルでは巻き数を増やすことも有効。向きを変える操作と大きさを変える操作を区別する。つながり：モーター／コイル／磁界</x:v>
      </x:c>
      <x:c r="J384" s="18" t="str">
        <x:v>モーター／コイル／磁界</x:v>
      </x:c>
    </x:row>
    <x:row r="385" ht="62" customHeight="1">
      <x:c r="A385" s="106" t="str">
        <x:v>PHY-133</x:v>
      </x:c>
      <x:c r="B385" s="106" t="str">
        <x:v>物理</x:v>
      </x:c>
      <x:c r="C385" s="106" t="str">
        <x:v>中2</x:v>
      </x:c>
      <x:c r="D385" s="106" t="str">
        <x:v>電流と磁界</x:v>
      </x:c>
      <x:c r="E385" s="106" t="str">
        <x:v>用語</x:v>
      </x:c>
      <x:c r="F385" s="106" t="str">
        <x:v>A</x:v>
      </x:c>
      <x:c r="G385" s="106" t="str"/>
      <x:c r="H385" s="18" t="str">
        <x:v>モーターの原理</x:v>
      </x:c>
      <x:c r="I385" s="18" t="str">
        <x:v>磁界（じかい）中のコイルに電流を流すと、コイルの両側が反対向きの力を受けて回転する。整流子が半回転ごとに電流方向を切り替え、同じ向きの回転を続けさせる。つながり：電磁力／整流子／エネルギー変換</x:v>
      </x:c>
      <x:c r="J385" s="18" t="str">
        <x:v>電磁力／整流子／エネルギー変換</x:v>
      </x:c>
    </x:row>
    <x:row r="386" ht="62" customHeight="1">
      <x:c r="A386" s="106" t="str">
        <x:v>PHY-134</x:v>
      </x:c>
      <x:c r="B386" s="106" t="str">
        <x:v>物理</x:v>
      </x:c>
      <x:c r="C386" s="106" t="str">
        <x:v>中2</x:v>
      </x:c>
      <x:c r="D386" s="106" t="str">
        <x:v>電流と磁界</x:v>
      </x:c>
      <x:c r="E386" s="106" t="str">
        <x:v>用語</x:v>
      </x:c>
      <x:c r="F386" s="106" t="str">
        <x:v>A</x:v>
      </x:c>
      <x:c r="G386" s="106" t="str"/>
      <x:c r="H386" s="18" t="str">
        <x:v>電磁誘導（でんじゆうどう）</x:v>
      </x:c>
      <x:c r="I386" s="18" t="str">
        <x:v>コイルを貫く磁界（じかい）が変化すると、コイルに電圧が生じて電流が流れる現象。磁石を止めたままでは流れず、動かす速さ・磁石の強さ・巻き数を増すと誘導電流（ゆうどうでんりゅう）は大きくなる。つながり：誘導電流／発電機／磁束変化</x:v>
      </x:c>
      <x:c r="J386" s="18" t="str">
        <x:v>誘導電流／発電機／磁束変化</x:v>
      </x:c>
    </x:row>
    <x:row r="387" ht="62" customHeight="1">
      <x:c r="A387" s="106" t="str">
        <x:v>PHY-135</x:v>
      </x:c>
      <x:c r="B387" s="106" t="str">
        <x:v>物理</x:v>
      </x:c>
      <x:c r="C387" s="106" t="str">
        <x:v>中2</x:v>
      </x:c>
      <x:c r="D387" s="106" t="str">
        <x:v>電流と磁界</x:v>
      </x:c>
      <x:c r="E387" s="106" t="str">
        <x:v>読図</x:v>
      </x:c>
      <x:c r="F387" s="106" t="str">
        <x:v>A</x:v>
      </x:c>
      <x:c r="G387" s="106" t="str"/>
      <x:c r="H387" s="18" t="str">
        <x:v>誘導電流（ゆうどうでんりゅう）の向き</x:v>
      </x:c>
      <x:c r="I387" s="18" t="str">
        <x:v>磁石をコイルへ近づけるときと遠ざけるときで逆向きになる。N極とS極を入れ替えても逆になる。変化を妨げる向きに磁界（じかい）を作るのが基本。つながり：電磁誘導（でんじゆうどう）／レンツの法則／検流計</x:v>
      </x:c>
      <x:c r="J387" s="18" t="str">
        <x:v>電磁誘導でんじゆうどう&lt;／rt&gt;&lt;／ruby&gt;／レンツの法則／検流計</x:v>
      </x:c>
    </x:row>
    <x:row r="388" ht="62" customHeight="1">
      <x:c r="A388" s="106" t="str">
        <x:v>PHY-136</x:v>
      </x:c>
      <x:c r="B388" s="106" t="str">
        <x:v>物理</x:v>
      </x:c>
      <x:c r="C388" s="106" t="str">
        <x:v>中2</x:v>
      </x:c>
      <x:c r="D388" s="106" t="str">
        <x:v>電流と磁界</x:v>
      </x:c>
      <x:c r="E388" s="106" t="str">
        <x:v>用語</x:v>
      </x:c>
      <x:c r="F388" s="106" t="str">
        <x:v>A</x:v>
      </x:c>
      <x:c r="G388" s="106" t="str"/>
      <x:c r="H388" s="18" t="str">
        <x:v>発電機の原理</x:v>
      </x:c>
      <x:c r="I388" s="18" t="str">
        <x:v>磁界（じかい）中でコイルを回転させ、コイルを貫く磁界を連続的に変化させて電磁誘導（でんじゆうどう）を起こす。運動エネルギーを電気エネルギーへ変換し、基本的に交流を得る。つながり：電磁誘導／交流／エネルギー変換</x:v>
      </x:c>
      <x:c r="J388" s="18" t="str">
        <x:v>電磁誘導／交流／エネルギー変換</x:v>
      </x:c>
    </x:row>
    <x:row r="389" ht="62" customHeight="1">
      <x:c r="A389" s="106" t="str">
        <x:v>CHE-044</x:v>
      </x:c>
      <x:c r="B389" s="106" t="str">
        <x:v>化学</x:v>
      </x:c>
      <x:c r="C389" s="106" t="str">
        <x:v>中2</x:v>
      </x:c>
      <x:c r="D389" s="106" t="str">
        <x:v>燃焼</x:v>
      </x:c>
      <x:c r="E389" s="106" t="str">
        <x:v>比較</x:v>
      </x:c>
      <x:c r="F389" s="106" t="str">
        <x:v>A</x:v>
      </x:c>
      <x:c r="G389" s="106" t="str"/>
      <x:c r="H389" s="18" t="str">
        <x:v>完全燃焼と不完全燃焼</x:v>
      </x:c>
      <x:c r="I389" s="18" t="str">
        <x:v>炭素を含む物質が十分な酸素で燃えると主に二酸化（さんか）炭素、不足すると一酸化炭素やすすが生じる。不完全燃焼は得られるエネルギーが少なく、一酸化炭素中毒の危険がある。つながり：酸素／一酸化炭素／すす</x:v>
      </x:c>
      <x:c r="J389" s="18" t="str">
        <x:v>酸素／一酸化炭素／すす</x:v>
      </x:c>
    </x:row>
    <x:row r="390" ht="62" customHeight="1">
      <x:c r="A390" s="106" t="str">
        <x:v>CHE-046</x:v>
      </x:c>
      <x:c r="B390" s="106" t="str">
        <x:v>化学</x:v>
      </x:c>
      <x:c r="C390" s="106" t="str">
        <x:v>中2</x:v>
      </x:c>
      <x:c r="D390" s="106" t="str">
        <x:v>酸化</x:v>
      </x:c>
      <x:c r="E390" s="106" t="str">
        <x:v>実験</x:v>
      </x:c>
      <x:c r="F390" s="106" t="str">
        <x:v>A</x:v>
      </x:c>
      <x:c r="G390" s="106" t="str"/>
      <x:c r="H390" s="18" t="str">
        <x:v>鉄がさびる条件</x:v>
      </x:c>
      <x:c r="I390" s="18" t="str">
        <x:v>鉄がさびるには水と酸素が必要。塩分はさびを速める。乾燥剤で水を除く、煮沸水に油を浮かべ酸素を遮る実験で、どちらかがないとさびにくいと分かる。つながり：酸化（さんか）／水／酸素</x:v>
      </x:c>
      <x:c r="J390" s="18" t="str">
        <x:v>酸化さんか&lt;／rt&gt;&lt;／ruby&gt;／水／酸素</x:v>
      </x:c>
    </x:row>
    <x:row r="391" ht="62" customHeight="1">
      <x:c r="A391" s="106" t="str">
        <x:v>CHE-047</x:v>
      </x:c>
      <x:c r="B391" s="106" t="str">
        <x:v>化学</x:v>
      </x:c>
      <x:c r="C391" s="106" t="str">
        <x:v>中2</x:v>
      </x:c>
      <x:c r="D391" s="106" t="str">
        <x:v>酸化</x:v>
      </x:c>
      <x:c r="E391" s="106" t="str">
        <x:v>因果</x:v>
      </x:c>
      <x:c r="F391" s="106" t="str">
        <x:v>B</x:v>
      </x:c>
      <x:c r="G391" s="106" t="str"/>
      <x:c r="H391" s="18" t="str">
        <x:v>さびを防ぐ方法</x:v>
      </x:c>
      <x:c r="I391" s="18" t="str">
        <x:v>塗装・油・めっきで水や酸素との接触を防ぐ、さびにくい合金を使う、犠牲になる金属を付けるなど。表面を傷つけると保護層が破れ、さびやすくなる。つながり：鉄／酸化（さんか）／めっき</x:v>
      </x:c>
      <x:c r="J391" s="18" t="str">
        <x:v>鉄／酸化さんか&lt;／rt&gt;&lt;／ruby&gt;／めっき</x:v>
      </x:c>
    </x:row>
    <x:row r="392" ht="62" customHeight="1">
      <x:c r="A392" s="106" t="str">
        <x:v>CHE-053</x:v>
      </x:c>
      <x:c r="B392" s="106" t="str">
        <x:v>化学</x:v>
      </x:c>
      <x:c r="C392" s="106" t="str">
        <x:v>中2</x:v>
      </x:c>
      <x:c r="D392" s="106" t="str">
        <x:v>物質の分類</x:v>
      </x:c>
      <x:c r="E392" s="106" t="str">
        <x:v>比較</x:v>
      </x:c>
      <x:c r="F392" s="106" t="str">
        <x:v>A</x:v>
      </x:c>
      <x:c r="G392" s="106" t="str"/>
      <x:c r="H392" s="18" t="str">
        <x:v>単体と化合物</x:v>
      </x:c>
      <x:c r="I392" s="18" t="str">
        <x:v>1種類の元素だけでできた純物質が単体、2種類以上の元素が化学的に結びついた純物質が化合物。混合物は物質同士が結びつかず混ざったものなので別分類。つながり：元素／純物質／混合物</x:v>
      </x:c>
      <x:c r="J392" s="18" t="str">
        <x:v>元素／純物質／混合物</x:v>
      </x:c>
    </x:row>
    <x:row r="393" ht="62" customHeight="1">
      <x:c r="A393" s="106" t="str">
        <x:v>CHE-064</x:v>
      </x:c>
      <x:c r="B393" s="106" t="str">
        <x:v>化学</x:v>
      </x:c>
      <x:c r="C393" s="106" t="str">
        <x:v>中2</x:v>
      </x:c>
      <x:c r="D393" s="106" t="str">
        <x:v>粒子</x:v>
      </x:c>
      <x:c r="E393" s="106" t="str">
        <x:v>用語</x:v>
      </x:c>
      <x:c r="F393" s="106" t="str">
        <x:v>A</x:v>
      </x:c>
      <x:c r="G393" s="106" t="n">
        <x:v>69</x:v>
      </x:c>
      <x:c r="H393" s="18" t="str">
        <x:v>原子</x:v>
      </x:c>
      <x:c r="I393" s="18" t="str">
        <x:v>化学変化でそれ以上分けられない、物質をつくる基本的な粒子。化学変化では原子の組み合わせが変わるだけで、原子の種類と数は保存される。つながり：元素／分子／質量保存</x:v>
      </x:c>
      <x:c r="J393" s="18" t="str">
        <x:v>元素／分子／質量保存</x:v>
      </x:c>
    </x:row>
    <x:row r="394" ht="62" customHeight="1">
      <x:c r="A394" s="106" t="str">
        <x:v>CHE-065</x:v>
      </x:c>
      <x:c r="B394" s="106" t="str">
        <x:v>化学</x:v>
      </x:c>
      <x:c r="C394" s="106" t="str">
        <x:v>中2</x:v>
      </x:c>
      <x:c r="D394" s="106" t="str">
        <x:v>粒子</x:v>
      </x:c>
      <x:c r="E394" s="106" t="str">
        <x:v>誤解対策</x:v>
      </x:c>
      <x:c r="F394" s="106" t="str">
        <x:v>A</x:v>
      </x:c>
      <x:c r="G394" s="106" t="n">
        <x:v>70</x:v>
      </x:c>
      <x:c r="H394" s="18" t="str">
        <x:v>元素</x:v>
      </x:c>
      <x:c r="I394" s="18" t="str">
        <x:v>同じ種類の原子をひとまとめにした概念。物質を構成する原子の種類を表し、元素記号で示す。元素と単体は異なり、酸素元素は水にも含まれるが、酸素という単体はO₂。つながり：原子／元素記号／単体</x:v>
      </x:c>
      <x:c r="J394" s="18" t="str">
        <x:v>原子／元素記号／単体</x:v>
      </x:c>
    </x:row>
    <x:row r="395" ht="62" customHeight="1">
      <x:c r="A395" s="106" t="str">
        <x:v>CHE-066</x:v>
      </x:c>
      <x:c r="B395" s="106" t="str">
        <x:v>化学</x:v>
      </x:c>
      <x:c r="C395" s="106" t="str">
        <x:v>中2</x:v>
      </x:c>
      <x:c r="D395" s="106" t="str">
        <x:v>粒子</x:v>
      </x:c>
      <x:c r="E395" s="106" t="str">
        <x:v>用語</x:v>
      </x:c>
      <x:c r="F395" s="106" t="str">
        <x:v>A</x:v>
      </x:c>
      <x:c r="G395" s="106" t="n">
        <x:v>71</x:v>
      </x:c>
      <x:c r="H395" s="18" t="str">
        <x:v>分子</x:v>
      </x:c>
      <x:c r="I395" s="18" t="str">
        <x:v>物質の性質を示す最小のまとまりとして、複数の原子が結びついた粒子。水H₂Oや酸素O₂は分子からなる。一方、塩化ナトリウムや金属は分子を作らない。つながり：原子／化学式／分子を作らない物質</x:v>
      </x:c>
      <x:c r="J395" s="18" t="str">
        <x:v>原子／化学式／分子を作らない物質</x:v>
      </x:c>
    </x:row>
    <x:row r="396" ht="62" customHeight="1">
      <x:c r="A396" s="106" t="str">
        <x:v>CHE-067</x:v>
      </x:c>
      <x:c r="B396" s="106" t="str">
        <x:v>化学</x:v>
      </x:c>
      <x:c r="C396" s="106" t="str">
        <x:v>中2</x:v>
      </x:c>
      <x:c r="D396" s="106" t="str">
        <x:v>粒子</x:v>
      </x:c>
      <x:c r="E396" s="106" t="str">
        <x:v>誤解対策</x:v>
      </x:c>
      <x:c r="F396" s="106" t="str">
        <x:v>B</x:v>
      </x:c>
      <x:c r="G396" s="106" t="str"/>
      <x:c r="H396" s="18" t="str">
        <x:v>分子をつくらない物質</x:v>
      </x:c>
      <x:c r="I396" s="18" t="str">
        <x:v>塩化ナトリウムなどのイオン結晶、鉄・銅などの金属は独立した分子を作らず、多数の粒子が連続して並ぶ。化学式NaClやFeは粒子の種類・比を表す。つながり：イオン結晶／金属／化学式</x:v>
      </x:c>
      <x:c r="J396" s="18" t="str">
        <x:v>イオン結晶／金属／化学式</x:v>
      </x:c>
    </x:row>
    <x:row r="397" ht="62" customHeight="1">
      <x:c r="A397" s="106" t="str">
        <x:v>CHE-068</x:v>
      </x:c>
      <x:c r="B397" s="106" t="str">
        <x:v>化学</x:v>
      </x:c>
      <x:c r="C397" s="106" t="str">
        <x:v>中2</x:v>
      </x:c>
      <x:c r="D397" s="106" t="str">
        <x:v>粒子</x:v>
      </x:c>
      <x:c r="E397" s="106" t="str">
        <x:v>誤解対策</x:v>
      </x:c>
      <x:c r="F397" s="106" t="str">
        <x:v>A</x:v>
      </x:c>
      <x:c r="G397" s="106" t="str"/>
      <x:c r="H397" s="18" t="str">
        <x:v>元素記号の書き方</x:v>
      </x:c>
      <x:c r="I397" s="18" t="str">
        <x:v>1文字目は大文字、2文字目があるときは小文字。Coはコバルト、COは炭素Cと酸素Oからなる一酸化（さんか）炭素を表し意味が異なる。文字の大小を正確に書く。つながり：元素／化学式／原子</x:v>
      </x:c>
      <x:c r="J397" s="18" t="str">
        <x:v>元素／化学式／原子</x:v>
      </x:c>
    </x:row>
    <x:row r="398" ht="62" customHeight="1">
      <x:c r="A398" s="106" t="str">
        <x:v>CHE-069</x:v>
      </x:c>
      <x:c r="B398" s="106" t="str">
        <x:v>化学</x:v>
      </x:c>
      <x:c r="C398" s="106" t="str">
        <x:v>中2</x:v>
      </x:c>
      <x:c r="D398" s="106" t="str">
        <x:v>粒子</x:v>
      </x:c>
      <x:c r="E398" s="106" t="str">
        <x:v>比較</x:v>
      </x:c>
      <x:c r="F398" s="106" t="str">
        <x:v>B</x:v>
      </x:c>
      <x:c r="G398" s="106" t="str"/>
      <x:c r="H398" s="18" t="str">
        <x:v>重要な元素記号①（一覧）</x:v>
      </x:c>
      <x:c r="I398" s="18" t="str">
        <x:v>水素H、炭素C、窒素N、酸素O、硫黄S、塩素Cl。個別カードで覚えた後、名称と記号を双方向で総復習する。Clのlは小文字のエル。つながり：元素／化学式／非金属</x:v>
      </x:c>
      <x:c r="J398" s="18" t="str">
        <x:v>元素／化学式／非金属</x:v>
      </x:c>
    </x:row>
    <x:row r="399" ht="62" customHeight="1">
      <x:c r="A399" s="106" t="str">
        <x:v>CHE-070</x:v>
      </x:c>
      <x:c r="B399" s="106" t="str">
        <x:v>化学</x:v>
      </x:c>
      <x:c r="C399" s="106" t="str">
        <x:v>中2</x:v>
      </x:c>
      <x:c r="D399" s="106" t="str">
        <x:v>粒子</x:v>
      </x:c>
      <x:c r="E399" s="106" t="str">
        <x:v>比較</x:v>
      </x:c>
      <x:c r="F399" s="106" t="str">
        <x:v>B</x:v>
      </x:c>
      <x:c r="G399" s="106" t="str"/>
      <x:c r="H399" s="18" t="str">
        <x:v>重要な元素記号②（一覧）</x:v>
      </x:c>
      <x:c r="I399" s="18" t="str">
        <x:v>ナトリウムNa、マグネシウムMg、アルミニウムAl、カリウムK、カルシウムCa、鉄Fe、銅Cu、亜鉛（あえん）Zn、銀Ag、バリウムBa。個別カードで覚えた後に総復習する。つながり：金属／イオン／化学式</x:v>
      </x:c>
      <x:c r="J399" s="18" t="str">
        <x:v>金属／イオン／化学式</x:v>
      </x:c>
    </x:row>
    <x:row r="400" ht="62" customHeight="1">
      <x:c r="A400" s="106" t="str">
        <x:v>CHE-071</x:v>
      </x:c>
      <x:c r="B400" s="106" t="str">
        <x:v>化学</x:v>
      </x:c>
      <x:c r="C400" s="106" t="str">
        <x:v>中2</x:v>
      </x:c>
      <x:c r="D400" s="106" t="str">
        <x:v>粒子</x:v>
      </x:c>
      <x:c r="E400" s="106" t="str">
        <x:v>用語</x:v>
      </x:c>
      <x:c r="F400" s="106" t="str">
        <x:v>A</x:v>
      </x:c>
      <x:c r="G400" s="106" t="n">
        <x:v>72</x:v>
      </x:c>
      <x:c r="H400" s="18" t="str">
        <x:v>化学式</x:v>
      </x:c>
      <x:c r="I400" s="18" t="str">
        <x:v>物質を元素記号と数字で表した式。右下の小さい数字は、その粒子内の原子数や原子数の比を示す。数字1は書かない。H₂OはH原子2個とO原子1個。つながり：元素記号／分子／原子数</x:v>
      </x:c>
      <x:c r="J400" s="18" t="str">
        <x:v>元素記号／分子／原子数</x:v>
      </x:c>
    </x:row>
    <x:row r="401" ht="62" customHeight="1">
      <x:c r="A401" s="106" t="str">
        <x:v>CHE-072</x:v>
      </x:c>
      <x:c r="B401" s="106" t="str">
        <x:v>化学</x:v>
      </x:c>
      <x:c r="C401" s="106" t="str">
        <x:v>中2</x:v>
      </x:c>
      <x:c r="D401" s="106" t="str">
        <x:v>粒子</x:v>
      </x:c>
      <x:c r="E401" s="106" t="str">
        <x:v>誤解対策</x:v>
      </x:c>
      <x:c r="F401" s="106" t="str">
        <x:v>A</x:v>
      </x:c>
      <x:c r="G401" s="106" t="n">
        <x:v>73</x:v>
      </x:c>
      <x:c r="H401" s="18" t="str">
        <x:v>係数と右下の数字</x:v>
      </x:c>
      <x:c r="I401" s="18" t="str">
        <x:v>2H₂Oの前の2は水分子2個を表し、式全体にかかるためH原子4個・O原子2個。H₂O₂の右下数字は1分子の組成を変える。係数は変えてよいが右下数字は変えない。つながり：化学反応式（かがくはんのうしき）／原子数／化学式</x:v>
      </x:c>
      <x:c r="J401" s="18" t="str">
        <x:v>化学反応式かがくはんのうしき&lt;／rt&gt;&lt;／ruby&gt;／原子数／化学式</x:v>
      </x:c>
    </x:row>
    <x:row r="402" ht="62" customHeight="1">
      <x:c r="A402" s="106" t="str">
        <x:v>CHE-073</x:v>
      </x:c>
      <x:c r="B402" s="106" t="str">
        <x:v>化学</x:v>
      </x:c>
      <x:c r="C402" s="106" t="str">
        <x:v>中2</x:v>
      </x:c>
      <x:c r="D402" s="106" t="str">
        <x:v>化学変化</x:v>
      </x:c>
      <x:c r="E402" s="106" t="str">
        <x:v>比較</x:v>
      </x:c>
      <x:c r="F402" s="106" t="str">
        <x:v>A</x:v>
      </x:c>
      <x:c r="G402" s="106" t="n">
        <x:v>89</x:v>
      </x:c>
      <x:c r="H402" s="18" t="str">
        <x:v>物理変化と化学変化</x:v>
      </x:c>
      <x:c r="I402" s="18" t="str">
        <x:v>物理変化は状態や形が変わっても物質の種類が同じ。化学変化は原子の組み合わせが変わり別の物質ができる。融解（ゆうかい）は物理変化、燃焼や分解は化学変化。つながり：状態変化／化学反応／原子</x:v>
      </x:c>
      <x:c r="J402" s="18" t="str">
        <x:v>状態変化／化学反応／原子</x:v>
      </x:c>
    </x:row>
    <x:row r="403" ht="62" customHeight="1">
      <x:c r="A403" s="106" t="str">
        <x:v>CHE-074</x:v>
      </x:c>
      <x:c r="B403" s="106" t="str">
        <x:v>化学</x:v>
      </x:c>
      <x:c r="C403" s="106" t="str">
        <x:v>中2</x:v>
      </x:c>
      <x:c r="D403" s="106" t="str">
        <x:v>化学変化</x:v>
      </x:c>
      <x:c r="E403" s="106" t="str">
        <x:v>用語</x:v>
      </x:c>
      <x:c r="F403" s="106" t="str">
        <x:v>A</x:v>
      </x:c>
      <x:c r="G403" s="106" t="str"/>
      <x:c r="H403" s="18" t="str">
        <x:v>化合</x:v>
      </x:c>
      <x:c r="I403" s="18" t="str">
        <x:v>2種類以上の物質が結びついて別の1種類の物質になる化学変化。鉄と硫黄を加熱して硫化（りゅうか）鉄ができる反応など。単なる混合とは性質が変わる点で異なる。つながり：化合物／硫化鉄／分解</x:v>
      </x:c>
      <x:c r="J403" s="18" t="str">
        <x:v>化合物／硫化鉄／分解</x:v>
      </x:c>
    </x:row>
    <x:row r="404" ht="62" customHeight="1">
      <x:c r="A404" s="106" t="str">
        <x:v>CHE-075</x:v>
      </x:c>
      <x:c r="B404" s="106" t="str">
        <x:v>化学</x:v>
      </x:c>
      <x:c r="C404" s="106" t="str">
        <x:v>中2</x:v>
      </x:c>
      <x:c r="D404" s="106" t="str">
        <x:v>化学変化</x:v>
      </x:c>
      <x:c r="E404" s="106" t="str">
        <x:v>用語</x:v>
      </x:c>
      <x:c r="F404" s="106" t="str">
        <x:v>A</x:v>
      </x:c>
      <x:c r="G404" s="106" t="str"/>
      <x:c r="H404" s="18" t="str">
        <x:v>分解（化学変化）</x:v>
      </x:c>
      <x:c r="I404" s="18" t="str">
        <x:v>1種類の物質が2種類以上の別の物質に分かれる化学変化。加熱による熱分解や、電流による電気分解がある。状態変化のように元と同じ物質へ戻るだけではない。つながり：熱分解／電気分解／化合</x:v>
      </x:c>
      <x:c r="J404" s="18" t="str">
        <x:v>熱分解／電気分解／化合</x:v>
      </x:c>
    </x:row>
    <x:row r="405" ht="62" customHeight="1">
      <x:c r="A405" s="106" t="str">
        <x:v>CHE-076</x:v>
      </x:c>
      <x:c r="B405" s="106" t="str">
        <x:v>化学</x:v>
      </x:c>
      <x:c r="C405" s="106" t="str">
        <x:v>中2</x:v>
      </x:c>
      <x:c r="D405" s="106" t="str">
        <x:v>化学変化</x:v>
      </x:c>
      <x:c r="E405" s="106" t="str">
        <x:v>用語</x:v>
      </x:c>
      <x:c r="F405" s="106" t="str">
        <x:v>A</x:v>
      </x:c>
      <x:c r="G405" s="106" t="n">
        <x:v>90</x:v>
      </x:c>
      <x:c r="H405" s="18" t="str">
        <x:v>化学反応式（かがくはんのうしき）</x:v>
      </x:c>
      <x:c r="I405" s="18" t="str">
        <x:v>反応物を左辺、生成物を右辺に化学式で書き矢印で結ぶ。両辺で各元素の原子数が等しくなるよう係数を最小の整数比で付ける。化学式の右下数字は変えない。つながり：係数／質量保存／原子数</x:v>
      </x:c>
      <x:c r="J405" s="18" t="str">
        <x:v>係数／質量保存／原子数</x:v>
      </x:c>
    </x:row>
    <x:row r="406" ht="62" customHeight="1">
      <x:c r="A406" s="106" t="str">
        <x:v>CHE-077</x:v>
      </x:c>
      <x:c r="B406" s="106" t="str">
        <x:v>化学</x:v>
      </x:c>
      <x:c r="C406" s="106" t="str">
        <x:v>中2</x:v>
      </x:c>
      <x:c r="D406" s="106" t="str">
        <x:v>化学変化</x:v>
      </x:c>
      <x:c r="E406" s="106" t="str">
        <x:v>計算</x:v>
      </x:c>
      <x:c r="F406" s="106" t="str">
        <x:v>A</x:v>
      </x:c>
      <x:c r="G406" s="106" t="n">
        <x:v>91</x:v>
      </x:c>
      <x:c r="H406" s="18" t="str">
        <x:v>化学反応式（かがくはんのうしき）の合わせ方</x:v>
      </x:c>
      <x:c r="I406" s="18" t="str">
        <x:v>①正しい化学式を書く、②複雑な物質から元素ごとに原子数を合わせる、③最後に全元素を確認、④係数を最小整数比にする。H₂＋O₂→H₂Oなら2H₂＋O₂→2H₂O。つながり：原子数保存／係数／化学式</x:v>
      </x:c>
      <x:c r="J406" s="18" t="str">
        <x:v>原子数保存／係数／化学式</x:v>
      </x:c>
    </x:row>
    <x:row r="407" ht="62" customHeight="1">
      <x:c r="A407" s="106" t="str">
        <x:v>CHE-078</x:v>
      </x:c>
      <x:c r="B407" s="106" t="str">
        <x:v>化学</x:v>
      </x:c>
      <x:c r="C407" s="106" t="str">
        <x:v>中2</x:v>
      </x:c>
      <x:c r="D407" s="106" t="str">
        <x:v>化学変化</x:v>
      </x:c>
      <x:c r="E407" s="106" t="str">
        <x:v>用語</x:v>
      </x:c>
      <x:c r="F407" s="106" t="str">
        <x:v>A</x:v>
      </x:c>
      <x:c r="G407" s="106" t="str"/>
      <x:c r="H407" s="18" t="str">
        <x:v>水の生成反応</x:v>
      </x:c>
      <x:c r="I407" s="18" t="str">
        <x:v>水素と酸素が反応して水ができる。2H₂＋O₂→2H₂O。分子数比は2：1：2で、各辺のH原子4個、O原子2個が保存される。つながり：水素／酸素／化学反応式（かがくはんのうしき）</x:v>
      </x:c>
      <x:c r="J407" s="18" t="str">
        <x:v>水素／酸素／化学反応式かがくはんのうしき&lt;／rt&gt;&lt;／ruby&gt;</x:v>
      </x:c>
    </x:row>
    <x:row r="408" ht="62" customHeight="1">
      <x:c r="A408" s="106" t="str">
        <x:v>CHE-079</x:v>
      </x:c>
      <x:c r="B408" s="106" t="str">
        <x:v>化学</x:v>
      </x:c>
      <x:c r="C408" s="106" t="str">
        <x:v>中2</x:v>
      </x:c>
      <x:c r="D408" s="106" t="str">
        <x:v>化学変化</x:v>
      </x:c>
      <x:c r="E408" s="106" t="str">
        <x:v>因果</x:v>
      </x:c>
      <x:c r="F408" s="106" t="str">
        <x:v>A</x:v>
      </x:c>
      <x:c r="G408" s="106" t="str"/>
      <x:c r="H408" s="18" t="str">
        <x:v>炭素の燃焼反応</x:v>
      </x:c>
      <x:c r="I408" s="18" t="str">
        <x:v>炭素が十分な酸素中で燃えると二酸化（さんか）炭素になる。C＋O₂→CO₂。反応後に質量が増えるように見えるのは、空気中の酸素が結びついたため。つながり：酸化／二酸化炭素／質量保存</x:v>
      </x:c>
      <x:c r="J408" s="18" t="str">
        <x:v>酸化／二酸化炭素／質量保存</x:v>
      </x:c>
    </x:row>
    <x:row r="409" ht="62" customHeight="1">
      <x:c r="A409" s="106" t="str">
        <x:v>CHE-080</x:v>
      </x:c>
      <x:c r="B409" s="106" t="str">
        <x:v>化学</x:v>
      </x:c>
      <x:c r="C409" s="106" t="str">
        <x:v>中2</x:v>
      </x:c>
      <x:c r="D409" s="106" t="str">
        <x:v>化学変化</x:v>
      </x:c>
      <x:c r="E409" s="106" t="str">
        <x:v>実験</x:v>
      </x:c>
      <x:c r="F409" s="106" t="str">
        <x:v>A</x:v>
      </x:c>
      <x:c r="G409" s="106" t="str"/>
      <x:c r="H409" s="18" t="str">
        <x:v>マグネシウムの燃焼反応</x:v>
      </x:c>
      <x:c r="I409" s="18" t="str">
        <x:v>マグネシウムが強い光を出して燃え、白色の酸化（さんか）マグネシウムになる。2Mg＋O₂→2MgO。粉末などを質量測定する実験では、るつぼのふたを少しずらして加熱し、強い光を直視しない。つながり：酸化／酸化マグネシウム／質量比</x:v>
      </x:c>
      <x:c r="J409" s="18" t="str">
        <x:v>酸化／酸化マグネシウム／質量比</x:v>
      </x:c>
    </x:row>
    <x:row r="410" ht="62" customHeight="1">
      <x:c r="A410" s="106" t="str">
        <x:v>CHE-081</x:v>
      </x:c>
      <x:c r="B410" s="106" t="str">
        <x:v>化学</x:v>
      </x:c>
      <x:c r="C410" s="106" t="str">
        <x:v>中2</x:v>
      </x:c>
      <x:c r="D410" s="106" t="str">
        <x:v>化学変化</x:v>
      </x:c>
      <x:c r="E410" s="106" t="str">
        <x:v>実験</x:v>
      </x:c>
      <x:c r="F410" s="106" t="str">
        <x:v>A</x:v>
      </x:c>
      <x:c r="G410" s="106" t="str"/>
      <x:c r="H410" s="18" t="str">
        <x:v>銅の酸化（さんか）反応</x:v>
      </x:c>
      <x:c r="I410" s="18" t="str">
        <x:v>銅粉を空気中で加熱すると、酸素と結びついて黒色の酸化（さんか）銅になる。2Cu＋O₂→2CuO。加熱・冷却・測定を繰り返し、質量が一定なら反応がほぼ完了したと判断する。つながり：酸化銅／酸化／質量増加</x:v>
      </x:c>
      <x:c r="J410" s="18" t="str">
        <x:v>酸化銅／酸化／質量増加</x:v>
      </x:c>
    </x:row>
    <x:row r="411" ht="62" customHeight="1">
      <x:c r="A411" s="106" t="str">
        <x:v>CHE-082</x:v>
      </x:c>
      <x:c r="B411" s="106" t="str">
        <x:v>化学</x:v>
      </x:c>
      <x:c r="C411" s="106" t="str">
        <x:v>中2</x:v>
      </x:c>
      <x:c r="D411" s="106" t="str">
        <x:v>化学変化</x:v>
      </x:c>
      <x:c r="E411" s="106" t="str">
        <x:v>実験</x:v>
      </x:c>
      <x:c r="F411" s="106" t="str">
        <x:v>A</x:v>
      </x:c>
      <x:c r="G411" s="106" t="str"/>
      <x:c r="H411" s="18" t="str">
        <x:v>鉄と硫黄の化合</x:v>
      </x:c>
      <x:c r="I411" s="18" t="str">
        <x:v>鉄粉と硫黄粉を少量混ぜ、試験管口を人へ向けず一部を加熱する。赤熱し始めたら加熱をやめても発熱して反応し、黒色のFeSができる。混合物と違い、生成物から磁石で鉄を分けられない。つながり：化合／硫化（りゅうか）鉄／混合物</x:v>
      </x:c>
      <x:c r="J411" s="18" t="str">
        <x:v>化合／硫化りゅうか&lt;／rt&gt;&lt;／ruby&gt;鉄／混合物</x:v>
      </x:c>
    </x:row>
    <x:row r="412" ht="62" customHeight="1">
      <x:c r="A412" s="106" t="str">
        <x:v>CHE-083</x:v>
      </x:c>
      <x:c r="B412" s="106" t="str">
        <x:v>化学</x:v>
      </x:c>
      <x:c r="C412" s="106" t="str">
        <x:v>中2</x:v>
      </x:c>
      <x:c r="D412" s="106" t="str">
        <x:v>化学変化</x:v>
      </x:c>
      <x:c r="E412" s="106" t="str">
        <x:v>実験</x:v>
      </x:c>
      <x:c r="F412" s="106" t="str">
        <x:v>A</x:v>
      </x:c>
      <x:c r="G412" s="106" t="str"/>
      <x:c r="H412" s="18" t="str">
        <x:v>酸化（さんか）銀の熱分解</x:v>
      </x:c>
      <x:c r="I412" s="18" t="str">
        <x:v>黒色の酸化（さんか）銀を加熱すると、銀と酸素に分解する。2Ag₂O→4Ag＋O₂。発生気体は線香の火を強くし、残った銀は金属光沢と導電性を示す。つながり：熱分解／酸素／銀</x:v>
      </x:c>
      <x:c r="J412" s="18" t="str">
        <x:v>熱分解／酸素／銀</x:v>
      </x:c>
    </x:row>
    <x:row r="413" ht="62" customHeight="1">
      <x:c r="A413" s="106" t="str">
        <x:v>CHE-084</x:v>
      </x:c>
      <x:c r="B413" s="106" t="str">
        <x:v>化学</x:v>
      </x:c>
      <x:c r="C413" s="106" t="str">
        <x:v>中2</x:v>
      </x:c>
      <x:c r="D413" s="106" t="str">
        <x:v>化学変化</x:v>
      </x:c>
      <x:c r="E413" s="106" t="str">
        <x:v>実験</x:v>
      </x:c>
      <x:c r="F413" s="106" t="str">
        <x:v>A</x:v>
      </x:c>
      <x:c r="G413" s="106" t="str"/>
      <x:c r="H413" s="18" t="str">
        <x:v>炭酸水素ナトリウムの熱分解</x:v>
      </x:c>
      <x:c r="I413" s="18" t="str">
        <x:v>加熱すると炭酸ナトリウム・二酸化（さんか）炭素・水になる。2NaHCO₃→Na₂CO₃＋CO₂＋H₂O。試験管の口を下げ、生成した水が加熱部へ戻り割れるのを防ぐ。つながり：熱分解／二酸化炭素／炭酸ナトリウム</x:v>
      </x:c>
      <x:c r="J413" s="18" t="str">
        <x:v>熱分解／二酸化炭素／炭酸ナトリウム</x:v>
      </x:c>
    </x:row>
    <x:row r="414" ht="62" customHeight="1">
      <x:c r="A414" s="106" t="str">
        <x:v>CHE-085</x:v>
      </x:c>
      <x:c r="B414" s="106" t="str">
        <x:v>化学</x:v>
      </x:c>
      <x:c r="C414" s="106" t="str">
        <x:v>中2</x:v>
      </x:c>
      <x:c r="D414" s="106" t="str">
        <x:v>化学変化</x:v>
      </x:c>
      <x:c r="E414" s="106" t="str">
        <x:v>実験</x:v>
      </x:c>
      <x:c r="F414" s="106" t="str">
        <x:v>B</x:v>
      </x:c>
      <x:c r="G414" s="106" t="str"/>
      <x:c r="H414" s="18" t="str">
        <x:v>炭酸水素ナトリウムと炭酸ナトリウムの判別</x:v>
      </x:c>
      <x:c r="I414" s="18" t="str">
        <x:v>どちらも白色固体だが、水溶液へフェノールフタレイン溶液を加えると、より強いアルカリ性の炭酸ナトリウムは赤色が濃く、炭酸水素ナトリウムは薄い。水への溶け方も異なる。つながり：熱分解／アルカリ性／指示薬</x:v>
      </x:c>
      <x:c r="J414" s="18" t="str">
        <x:v>熱分解／アルカリ性／指示薬</x:v>
      </x:c>
    </x:row>
    <x:row r="415" ht="62" customHeight="1">
      <x:c r="A415" s="106" t="str">
        <x:v>CHE-086</x:v>
      </x:c>
      <x:c r="B415" s="106" t="str">
        <x:v>化学</x:v>
      </x:c>
      <x:c r="C415" s="106" t="str">
        <x:v>中2</x:v>
      </x:c>
      <x:c r="D415" s="106" t="str">
        <x:v>化学変化</x:v>
      </x:c>
      <x:c r="E415" s="106" t="str">
        <x:v>実験</x:v>
      </x:c>
      <x:c r="F415" s="106" t="str">
        <x:v>A</x:v>
      </x:c>
      <x:c r="G415" s="106" t="n">
        <x:v>92</x:v>
      </x:c>
      <x:c r="H415" s="18" t="str">
        <x:v>水の電気分解</x:v>
      </x:c>
      <x:c r="I415" s="18" t="str">
        <x:v>純水は電流を通しにくいため水酸化（さんか）ナトリウムなどを少量加える。陰極（いんきょく）に水素、陽極（ようきょく）に酸素が体積比2：1で生じ、2H₂O→2H₂＋O₂。保護眼鏡を着け、液が付いたら直ちに多量の水で洗う。つながり：水素／酸素／体積比</x:v>
      </x:c>
      <x:c r="J415" s="18" t="str">
        <x:v>水素／酸素／体積比</x:v>
      </x:c>
    </x:row>
    <x:row r="416" ht="62" customHeight="1">
      <x:c r="A416" s="106" t="str">
        <x:v>CHE-087</x:v>
      </x:c>
      <x:c r="B416" s="106" t="str">
        <x:v>化学</x:v>
      </x:c>
      <x:c r="C416" s="106" t="str">
        <x:v>中2</x:v>
      </x:c>
      <x:c r="D416" s="106" t="str">
        <x:v>化学変化</x:v>
      </x:c>
      <x:c r="E416" s="106" t="str">
        <x:v>誤解対策</x:v>
      </x:c>
      <x:c r="F416" s="106" t="str">
        <x:v>A</x:v>
      </x:c>
      <x:c r="G416" s="106" t="str"/>
      <x:c r="H416" s="18" t="str">
        <x:v>触媒（しょくばい）</x:v>
      </x:c>
      <x:c r="I416" s="18" t="str">
        <x:v>反応の前後で自身はほぼ変化せず、反応速度を変える物質。二酸化（さんか）マンガンは過酸化水素の分解を速めるが、できる酸素の最終総量は増やさない。少量でも働く。つながり：反応速度／二酸化マンガン／過酸化水素</x:v>
      </x:c>
      <x:c r="J416" s="18" t="str">
        <x:v>反応速度／二酸化マンガン／過酸化水素</x:v>
      </x:c>
    </x:row>
    <x:row r="417" ht="62" customHeight="1">
      <x:c r="A417" s="106" t="str">
        <x:v>CHE-088</x:v>
      </x:c>
      <x:c r="B417" s="106" t="str">
        <x:v>化学</x:v>
      </x:c>
      <x:c r="C417" s="106" t="str">
        <x:v>中2</x:v>
      </x:c>
      <x:c r="D417" s="106" t="str">
        <x:v>化学変化</x:v>
      </x:c>
      <x:c r="E417" s="106" t="str">
        <x:v>用語</x:v>
      </x:c>
      <x:c r="F417" s="106" t="str">
        <x:v>A</x:v>
      </x:c>
      <x:c r="G417" s="106" t="str"/>
      <x:c r="H417" s="18" t="str">
        <x:v>酸化（さんか）</x:v>
      </x:c>
      <x:c r="I417" s="18" t="str">
        <x:v>中学では物質が酸素と結びつく化学変化。激しく光や熱を出す酸化（さんか）が燃焼で、さびのようにゆっくり進む酸化もある。金属が酸化すると酸素分だけ質量が増える。つながり：燃焼／さび／還元（かんげん）</x:v>
      </x:c>
      <x:c r="J417" s="18" t="str">
        <x:v>燃焼／さび／還元かんげん&lt;／rt&gt;&lt;／ruby&gt;</x:v>
      </x:c>
    </x:row>
    <x:row r="418" ht="62" customHeight="1">
      <x:c r="A418" s="106" t="str">
        <x:v>CHE-089</x:v>
      </x:c>
      <x:c r="B418" s="106" t="str">
        <x:v>化学</x:v>
      </x:c>
      <x:c r="C418" s="106" t="str">
        <x:v>中2</x:v>
      </x:c>
      <x:c r="D418" s="106" t="str">
        <x:v>化学変化</x:v>
      </x:c>
      <x:c r="E418" s="106" t="str">
        <x:v>用語</x:v>
      </x:c>
      <x:c r="F418" s="106" t="str">
        <x:v>A</x:v>
      </x:c>
      <x:c r="G418" s="106" t="str"/>
      <x:c r="H418" s="18" t="str">
        <x:v>還元（かんげん）</x:v>
      </x:c>
      <x:c r="I418" s="18" t="str">
        <x:v>酸化（さんか）物から酸素が取り除かれる化学変化。酸化銅と炭素を加熱すると、酸化銅は銅へ還元（かんげん）され、炭素は酸化されて二酸化炭素になる。酸化と還元は同時に起こる。つながり：酸化／酸化銅／炭素</x:v>
      </x:c>
      <x:c r="J418" s="18" t="str">
        <x:v>酸化／酸化銅／炭素</x:v>
      </x:c>
    </x:row>
    <x:row r="419" ht="62" customHeight="1">
      <x:c r="A419" s="106" t="str">
        <x:v>CHE-090</x:v>
      </x:c>
      <x:c r="B419" s="106" t="str">
        <x:v>化学</x:v>
      </x:c>
      <x:c r="C419" s="106" t="str">
        <x:v>中2</x:v>
      </x:c>
      <x:c r="D419" s="106" t="str">
        <x:v>化学変化</x:v>
      </x:c>
      <x:c r="E419" s="106" t="str">
        <x:v>実験</x:v>
      </x:c>
      <x:c r="F419" s="106" t="str">
        <x:v>A</x:v>
      </x:c>
      <x:c r="G419" s="106" t="str"/>
      <x:c r="H419" s="18" t="str">
        <x:v>酸化（さんか）銅の炭素による還元（かんげん）</x:v>
      </x:c>
      <x:c r="I419" s="18" t="str">
        <x:v>2CuO＋C→2Cu＋CO₂。黒色の酸化（さんか）銅から赤色の銅ができ、気体は石灰水を濁らせる。試験管口を少し下げ、加熱を止める前にガラス管を石灰水から抜いて逆流を防ぐ。つながり：酸化還元（かんげん）／二酸化炭素／石灰水</x:v>
      </x:c>
      <x:c r="J419" s="18" t="str">
        <x:v>酸化還元かんげん&lt;／rt&gt;&lt;／ruby&gt;／二酸化炭素／石灰水</x:v>
      </x:c>
    </x:row>
    <x:row r="420" ht="62" customHeight="1">
      <x:c r="A420" s="106" t="str">
        <x:v>CHE-091</x:v>
      </x:c>
      <x:c r="B420" s="106" t="str">
        <x:v>化学</x:v>
      </x:c>
      <x:c r="C420" s="106" t="str">
        <x:v>中2</x:v>
      </x:c>
      <x:c r="D420" s="106" t="str">
        <x:v>化学変化</x:v>
      </x:c>
      <x:c r="E420" s="106" t="str">
        <x:v>用語</x:v>
      </x:c>
      <x:c r="F420" s="106" t="str">
        <x:v>A</x:v>
      </x:c>
      <x:c r="G420" s="106" t="str"/>
      <x:c r="H420" s="18" t="str">
        <x:v>発熱反応（はつねつはんのう）</x:v>
      </x:c>
      <x:c r="I420" s="18" t="str">
        <x:v>化学変化で周囲へ熱を放出し、周囲の温度が上がる反応。燃焼、鉄の酸化（さんか）、酸とアルカリの中和（ちゅうわ）など。反応物の化学エネルギーの一部が熱へ変わる。つながり：燃焼／中和／化学エネルギー</x:v>
      </x:c>
      <x:c r="J420" s="18" t="str">
        <x:v>燃焼／中和／化学エネルギー</x:v>
      </x:c>
    </x:row>
    <x:row r="421" ht="62" customHeight="1">
      <x:c r="A421" s="106" t="str">
        <x:v>CHE-092</x:v>
      </x:c>
      <x:c r="B421" s="106" t="str">
        <x:v>化学</x:v>
      </x:c>
      <x:c r="C421" s="106" t="str">
        <x:v>中2</x:v>
      </x:c>
      <x:c r="D421" s="106" t="str">
        <x:v>化学変化</x:v>
      </x:c>
      <x:c r="E421" s="106" t="str">
        <x:v>誤解対策</x:v>
      </x:c>
      <x:c r="F421" s="106" t="str">
        <x:v>B</x:v>
      </x:c>
      <x:c r="G421" s="106" t="str"/>
      <x:c r="H421" s="18" t="str">
        <x:v>吸熱反応（きゅうねつはんのう）</x:v>
      </x:c>
      <x:c r="I421" s="18" t="str">
        <x:v>化学変化が周囲から熱を吸収し、周囲の温度が下がる反応。例として塩化アンモニウムと水酸化（さんか）バリウムの反応など。単なる氷の融解（ゆうかい）は吸熱だが化学反応ではなく状態変化。つながり：温度低下／状態変化／化学エネルギー</x:v>
      </x:c>
      <x:c r="J421" s="18" t="str">
        <x:v>温度低下／状態変化／化学エネルギー</x:v>
      </x:c>
    </x:row>
    <x:row r="422" ht="62" customHeight="1">
      <x:c r="A422" s="106" t="str">
        <x:v>CHE-093</x:v>
      </x:c>
      <x:c r="B422" s="106" t="str">
        <x:v>化学</x:v>
      </x:c>
      <x:c r="C422" s="106" t="str">
        <x:v>中2</x:v>
      </x:c>
      <x:c r="D422" s="106" t="str">
        <x:v>化学変化</x:v>
      </x:c>
      <x:c r="E422" s="106" t="str">
        <x:v>用語</x:v>
      </x:c>
      <x:c r="F422" s="106" t="str">
        <x:v>A</x:v>
      </x:c>
      <x:c r="G422" s="106" t="n">
        <x:v>93</x:v>
      </x:c>
      <x:c r="H422" s="18" t="str">
        <x:v>化学変化と質量保存の法則</x:v>
      </x:c>
      <x:c r="I422" s="18" t="str">
        <x:v>化学変化の前後で、反応に関わる物質全体の質量は変わらない。原子の種類と数が保存され、組み合わせだけが変わるため。気体も含めた閉じた系で測る。つながり：原子数保存／密閉系／化学反応式（かがくはんのうしき）</x:v>
      </x:c>
      <x:c r="J422" s="18" t="str">
        <x:v>原子数保存／密閉系／化学反応式かがくはんのうしき&lt;／rt&gt;&lt;／ruby&gt;</x:v>
      </x:c>
    </x:row>
    <x:row r="423" ht="62" customHeight="1">
      <x:c r="A423" s="106" t="str">
        <x:v>CHE-094</x:v>
      </x:c>
      <x:c r="B423" s="106" t="str">
        <x:v>化学</x:v>
      </x:c>
      <x:c r="C423" s="106" t="str">
        <x:v>中2</x:v>
      </x:c>
      <x:c r="D423" s="106" t="str">
        <x:v>化学変化</x:v>
      </x:c>
      <x:c r="E423" s="106" t="str">
        <x:v>誤解対策</x:v>
      </x:c>
      <x:c r="F423" s="106" t="str">
        <x:v>A</x:v>
      </x:c>
      <x:c r="G423" s="106" t="str"/>
      <x:c r="H423" s="18" t="str">
        <x:v>開放容器で質量が変わる理由</x:v>
      </x:c>
      <x:c r="I423" s="18" t="str">
        <x:v>気体が外へ逃げる反応では容器内の測定質量が減り、空気中の酸素を取り込む反応では増える。容器と出入りした気体まで含めれば全体の質量は保存される。つながり：質量保存／気体／酸化（さんか）</x:v>
      </x:c>
      <x:c r="J423" s="18" t="str">
        <x:v>質量保存／気体／酸化さんか&lt;／rt&gt;&lt;／ruby&gt;</x:v>
      </x:c>
    </x:row>
    <x:row r="424" ht="62" customHeight="1">
      <x:c r="A424" s="106" t="str">
        <x:v>CHE-095</x:v>
      </x:c>
      <x:c r="B424" s="106" t="str">
        <x:v>化学</x:v>
      </x:c>
      <x:c r="C424" s="106" t="str">
        <x:v>中2</x:v>
      </x:c>
      <x:c r="D424" s="106" t="str">
        <x:v>化学変化</x:v>
      </x:c>
      <x:c r="E424" s="106" t="str">
        <x:v>用語</x:v>
      </x:c>
      <x:c r="F424" s="106" t="str">
        <x:v>A</x:v>
      </x:c>
      <x:c r="G424" s="106" t="n">
        <x:v>105</x:v>
      </x:c>
      <x:c r="H424" s="18" t="str">
        <x:v>一定の質量比</x:v>
      </x:c>
      <x:c r="I424" s="18" t="str">
        <x:v>同じ化合物をつくる元素の質量比は常に一定。例えば銅と酸素が酸化（さんか）銅になる質量比は約4：1、マグネシウムと酸素は約3：2。反応物の量を増やしても比は変わらない。つながり：定比例／酸化銅／酸化マグネシウム</x:v>
      </x:c>
      <x:c r="J424" s="18" t="str">
        <x:v>定比例／酸化銅／酸化マグネシウム</x:v>
      </x:c>
    </x:row>
    <x:row r="425" ht="62" customHeight="1">
      <x:c r="A425" s="106" t="str">
        <x:v>CHE-096</x:v>
      </x:c>
      <x:c r="B425" s="106" t="str">
        <x:v>化学</x:v>
      </x:c>
      <x:c r="C425" s="106" t="str">
        <x:v>中2</x:v>
      </x:c>
      <x:c r="D425" s="106" t="str">
        <x:v>化学変化</x:v>
      </x:c>
      <x:c r="E425" s="106" t="str">
        <x:v>計算</x:v>
      </x:c>
      <x:c r="F425" s="106" t="str">
        <x:v>A</x:v>
      </x:c>
      <x:c r="G425" s="106" t="str"/>
      <x:c r="H425" s="18" t="str">
        <x:v>銅と酸素の質量比</x:v>
      </x:c>
      <x:c r="I425" s="18" t="str">
        <x:v>銅：結びつく酸素：酸化（さんか）銅＝4：1：5。銅8.0 gが完全に反応すれば酸素2.0 gと結びつき酸化銅10.0 gになる。問題中の実験値から比を確定する。つながり：酸化銅／質量保存／比例計算</x:v>
      </x:c>
      <x:c r="J425" s="18" t="str">
        <x:v>酸化銅／質量保存／比例計算</x:v>
      </x:c>
    </x:row>
    <x:row r="426" ht="62" customHeight="1">
      <x:c r="A426" s="106" t="str">
        <x:v>CHE-097</x:v>
      </x:c>
      <x:c r="B426" s="106" t="str">
        <x:v>化学</x:v>
      </x:c>
      <x:c r="C426" s="106" t="str">
        <x:v>中2</x:v>
      </x:c>
      <x:c r="D426" s="106" t="str">
        <x:v>化学変化</x:v>
      </x:c>
      <x:c r="E426" s="106" t="str">
        <x:v>計算</x:v>
      </x:c>
      <x:c r="F426" s="106" t="str">
        <x:v>A</x:v>
      </x:c>
      <x:c r="G426" s="106" t="str"/>
      <x:c r="H426" s="18" t="str">
        <x:v>マグネシウムと酸素の質量比</x:v>
      </x:c>
      <x:c r="I426" s="18" t="str">
        <x:v>マグネシウム：結びつく酸素：酸化（さんか）マグネシウム＝3：2：5。Mg 6.0 gならO 4.0 gと反応しMgO 10.0 g。実験では未反応や散逸でずれることがある。つながり：酸化マグネシウム／質量比／燃焼</x:v>
      </x:c>
      <x:c r="J426" s="18" t="str">
        <x:v>酸化マグネシウム／質量比／燃焼</x:v>
      </x:c>
    </x:row>
    <x:row r="427" ht="62" customHeight="1">
      <x:c r="A427" s="106" t="str">
        <x:v>CHE-098</x:v>
      </x:c>
      <x:c r="B427" s="106" t="str">
        <x:v>化学</x:v>
      </x:c>
      <x:c r="C427" s="106" t="str">
        <x:v>中2</x:v>
      </x:c>
      <x:c r="D427" s="106" t="str">
        <x:v>化学変化</x:v>
      </x:c>
      <x:c r="E427" s="106" t="str">
        <x:v>計算</x:v>
      </x:c>
      <x:c r="F427" s="106" t="str">
        <x:v>A</x:v>
      </x:c>
      <x:c r="G427" s="106" t="n">
        <x:v>106</x:v>
      </x:c>
      <x:c r="H427" s="18" t="str">
        <x:v>不足する反応物と余る反応物</x:v>
      </x:c>
      <x:c r="I427" s="18" t="str">
        <x:v>一定の質量比より一方を多く混ぜても、少ない側を使い切った時点で反応は止まり、もう一方が余る。生成物量は不足する側の量で決まる。つながり：限界反応物／質量比／生成物</x:v>
      </x:c>
      <x:c r="J427" s="18" t="str">
        <x:v>限界反応物／質量比／生成物</x:v>
      </x:c>
    </x:row>
    <x:row r="428" ht="62" customHeight="1">
      <x:c r="A428" s="106" t="str">
        <x:v>CHE-099</x:v>
      </x:c>
      <x:c r="B428" s="106" t="str">
        <x:v>化学</x:v>
      </x:c>
      <x:c r="C428" s="106" t="str">
        <x:v>中2</x:v>
      </x:c>
      <x:c r="D428" s="106" t="str">
        <x:v>化学変化</x:v>
      </x:c>
      <x:c r="E428" s="106" t="str">
        <x:v>読図</x:v>
      </x:c>
      <x:c r="F428" s="106" t="str">
        <x:v>A</x:v>
      </x:c>
      <x:c r="G428" s="106" t="str"/>
      <x:c r="H428" s="18" t="str">
        <x:v>反応量グラフの折れ曲がり</x:v>
      </x:c>
      <x:c r="I428" s="18" t="str">
        <x:v>一方の反応物を一定にして他方を増やすと、生成物量は比例して増え、一定点から増えなくなる。折れ曲がりは一定側を使い切るのに必要な量で、それ以降の追加分は余る。つながり：限界反応物／比例／質量比</x:v>
      </x:c>
      <x:c r="J428" s="18" t="str">
        <x:v>限界反応物／比例／質量比</x:v>
      </x:c>
    </x:row>
    <x:row r="429" ht="62" customHeight="1">
      <x:c r="A429" s="106" t="str">
        <x:v>CHE-100</x:v>
      </x:c>
      <x:c r="B429" s="106" t="str">
        <x:v>化学</x:v>
      </x:c>
      <x:c r="C429" s="106" t="str">
        <x:v>中2</x:v>
      </x:c>
      <x:c r="D429" s="106" t="str">
        <x:v>化学変化</x:v>
      </x:c>
      <x:c r="E429" s="106" t="str">
        <x:v>読図</x:v>
      </x:c>
      <x:c r="F429" s="106" t="str">
        <x:v>A</x:v>
      </x:c>
      <x:c r="G429" s="106" t="str"/>
      <x:c r="H429" s="18" t="str">
        <x:v>反応前後の粒子図</x:v>
      </x:c>
      <x:c r="I429" s="18" t="str">
        <x:v>反応前後で各元素の原子の種類と総数を一致させる。原子の結びつきは変えてよいが、原子を新しく作る・消す・別元素へ変えることはできない。余った粒子も図に残す。つながり：原子数保存／化学反応式（かがくはんのうしき）／余剰反応物</x:v>
      </x:c>
      <x:c r="J429" s="18" t="str">
        <x:v>原子数保存／化学反応式かがくはんのうしき&lt;／rt&gt;&lt;／ruby&gt;／余剰反応物</x:v>
      </x:c>
    </x:row>
    <x:row r="430" ht="62" customHeight="1">
      <x:c r="A430" s="106" t="str">
        <x:v>CHE-146</x:v>
      </x:c>
      <x:c r="B430" s="106" t="str">
        <x:v>化学</x:v>
      </x:c>
      <x:c r="C430" s="106" t="str">
        <x:v>中2</x:v>
      </x:c>
      <x:c r="D430" s="106" t="str">
        <x:v>元素</x:v>
      </x:c>
      <x:c r="E430" s="106" t="str">
        <x:v>用語</x:v>
      </x:c>
      <x:c r="F430" s="106" t="str">
        <x:v>B</x:v>
      </x:c>
      <x:c r="G430" s="106" t="str"/>
      <x:c r="H430" s="18" t="str">
        <x:v>周期表（しゅうきひょう）</x:v>
      </x:c>
      <x:c r="I430" s="18" t="str">
        <x:v>元素を原子番号の順に並べ、性質が周期的に似るよう整理した表。同じ縦の列には似た性質の元素が並ぶことが多い。元素記号の暗記表だけではなく、元素間の関係を示す。つながり：原子番号／元素記号／金属</x:v>
      </x:c>
      <x:c r="J430" s="18" t="str">
        <x:v>原子番号／元素記号／金属</x:v>
      </x:c>
    </x:row>
    <x:row r="431" ht="62" customHeight="1">
      <x:c r="A431" s="106" t="str">
        <x:v>CHE-147</x:v>
      </x:c>
      <x:c r="B431" s="106" t="str">
        <x:v>化学</x:v>
      </x:c>
      <x:c r="C431" s="106" t="str">
        <x:v>中2</x:v>
      </x:c>
      <x:c r="D431" s="106" t="str">
        <x:v>元素</x:v>
      </x:c>
      <x:c r="E431" s="106" t="str">
        <x:v>読図</x:v>
      </x:c>
      <x:c r="F431" s="106" t="str">
        <x:v>B</x:v>
      </x:c>
      <x:c r="G431" s="106" t="str"/>
      <x:c r="H431" s="18" t="str">
        <x:v>周期表（しゅうきひょう）で見る金属と非金属</x:v>
      </x:c>
      <x:c r="I431" s="18" t="str">
        <x:v>周期表（しゅうきひょう）では金属元素が主に左側・中央、非金属元素が主に右上側にある。水素は左上にあるが非金属。境界付近には両方に近い性質を示す元素もある。つながり：周期表／金属／非金属</x:v>
      </x:c>
      <x:c r="J431" s="18" t="str">
        <x:v>周期表／金属／非金属</x:v>
      </x:c>
    </x:row>
    <x:row r="432" ht="62" customHeight="1">
      <x:c r="A432" s="106" t="str">
        <x:v>CHE-158</x:v>
      </x:c>
      <x:c r="B432" s="106" t="str">
        <x:v>化学</x:v>
      </x:c>
      <x:c r="C432" s="106" t="str">
        <x:v>中2</x:v>
      </x:c>
      <x:c r="D432" s="106" t="str">
        <x:v>化学反応式</x:v>
      </x:c>
      <x:c r="E432" s="106" t="str">
        <x:v>用語</x:v>
      </x:c>
      <x:c r="F432" s="106" t="str">
        <x:v>A</x:v>
      </x:c>
      <x:c r="G432" s="106" t="str"/>
      <x:c r="H432" s="18" t="str">
        <x:v>鉄と硫黄の反応式</x:v>
      </x:c>
      <x:c r="I432" s="18" t="str">
        <x:v>鉄と硫黄が1：1の粒子数比で化合して硫化（りゅうか）鉄になる。Fe＋S→FeS。混合しただけでは反応式の生成物にならず、加熱して反応を開始させる。つながり：硫化鉄／化合／鉄と硫黄</x:v>
      </x:c>
      <x:c r="J432" s="18" t="str">
        <x:v>硫化鉄／化合／鉄と硫黄</x:v>
      </x:c>
    </x:row>
    <x:row r="433" ht="62" customHeight="1">
      <x:c r="A433" s="106" t="str">
        <x:v>CHE-159</x:v>
      </x:c>
      <x:c r="B433" s="106" t="str">
        <x:v>化学</x:v>
      </x:c>
      <x:c r="C433" s="106" t="str">
        <x:v>中2</x:v>
      </x:c>
      <x:c r="D433" s="106" t="str">
        <x:v>化学反応式</x:v>
      </x:c>
      <x:c r="E433" s="106" t="str">
        <x:v>用語</x:v>
      </x:c>
      <x:c r="F433" s="106" t="str">
        <x:v>A</x:v>
      </x:c>
      <x:c r="G433" s="106" t="str"/>
      <x:c r="H433" s="18" t="str">
        <x:v>過酸化（さんか）水素の分解反応式</x:v>
      </x:c>
      <x:c r="I433" s="18" t="str">
        <x:v>2H₂O₂→2H₂O＋O₂。二酸化（さんか）マンガンは反応を速める触媒（しょくばい）で、反応式の反応物・生成物には含めない。発生気体は酸素。つながり：酸素／触媒／二酸化マンガン</x:v>
      </x:c>
      <x:c r="J433" s="18" t="str">
        <x:v>酸素／触媒／二酸化マンガン</x:v>
      </x:c>
    </x:row>
    <x:row r="434" ht="62" customHeight="1">
      <x:c r="A434" s="106" t="str">
        <x:v>CHE-160</x:v>
      </x:c>
      <x:c r="B434" s="106" t="str">
        <x:v>化学</x:v>
      </x:c>
      <x:c r="C434" s="106" t="str">
        <x:v>中2</x:v>
      </x:c>
      <x:c r="D434" s="106" t="str">
        <x:v>化学反応式</x:v>
      </x:c>
      <x:c r="E434" s="106" t="str">
        <x:v>用語</x:v>
      </x:c>
      <x:c r="F434" s="106" t="str">
        <x:v>A</x:v>
      </x:c>
      <x:c r="G434" s="106" t="str"/>
      <x:c r="H434" s="18" t="str">
        <x:v>炭酸カルシウムと塩酸の反応式</x:v>
      </x:c>
      <x:c r="I434" s="18" t="str">
        <x:v>CaCO₃＋2HCl→CaCl₂＋H₂O＋CO₂。石灰石や貝殻へうすい塩酸を加えて二酸化（さんか）炭素をつくる反応で、係数2を忘れない。つながり：二酸化炭素／石灰石／塩化カルシウム</x:v>
      </x:c>
      <x:c r="J434" s="18" t="str">
        <x:v>二酸化炭素／石灰石／塩化カルシウム</x:v>
      </x:c>
    </x:row>
    <x:row r="435" ht="62" customHeight="1">
      <x:c r="A435" s="106" t="str">
        <x:v>CHE-161</x:v>
      </x:c>
      <x:c r="B435" s="106" t="str">
        <x:v>化学</x:v>
      </x:c>
      <x:c r="C435" s="106" t="str">
        <x:v>中2</x:v>
      </x:c>
      <x:c r="D435" s="106" t="str">
        <x:v>化学反応式</x:v>
      </x:c>
      <x:c r="E435" s="106" t="str">
        <x:v>用語</x:v>
      </x:c>
      <x:c r="F435" s="106" t="str">
        <x:v>A</x:v>
      </x:c>
      <x:c r="G435" s="106" t="str"/>
      <x:c r="H435" s="18" t="str">
        <x:v>亜鉛（あえん）と塩酸の反応式</x:v>
      </x:c>
      <x:c r="I435" s="18" t="str">
        <x:v>Zn＋2HCl→ZnCl₂＋H₂。亜鉛（あえん）が塩化亜鉛となり、水素が発生する。原子数を合わせるためHClの係数は2。つながり：水素／亜鉛／酸と金属</x:v>
      </x:c>
      <x:c r="J435" s="18" t="str">
        <x:v>水素／亜鉛／酸と金属</x:v>
      </x:c>
    </x:row>
    <x:row r="436" ht="62" customHeight="1">
      <x:c r="A436" s="106" t="str">
        <x:v>CHE-165</x:v>
      </x:c>
      <x:c r="B436" s="106" t="str">
        <x:v>化学</x:v>
      </x:c>
      <x:c r="C436" s="106" t="str">
        <x:v>中2</x:v>
      </x:c>
      <x:c r="D436" s="106" t="str">
        <x:v>元素記号</x:v>
      </x:c>
      <x:c r="E436" s="106" t="str">
        <x:v>用語</x:v>
      </x:c>
      <x:c r="F436" s="106" t="str">
        <x:v>A</x:v>
      </x:c>
      <x:c r="G436" s="106" t="str"/>
      <x:c r="H436" s="18" t="str">
        <x:v>水素の元素記号</x:v>
      </x:c>
      <x:c r="I436" s="18" t="str">
        <x:v>H。元素記号は大文字1字で書く。水素分子の化学式はH₂なので、元素記号Hと分子の化学式H₂を区別する。つながり：水素／H₂／原子</x:v>
      </x:c>
      <x:c r="J436" s="18" t="str">
        <x:v>水素／H₂／原子</x:v>
      </x:c>
    </x:row>
    <x:row r="437" ht="62" customHeight="1">
      <x:c r="A437" s="106" t="str">
        <x:v>CHE-166</x:v>
      </x:c>
      <x:c r="B437" s="106" t="str">
        <x:v>化学</x:v>
      </x:c>
      <x:c r="C437" s="106" t="str">
        <x:v>中2</x:v>
      </x:c>
      <x:c r="D437" s="106" t="str">
        <x:v>元素記号</x:v>
      </x:c>
      <x:c r="E437" s="106" t="str">
        <x:v>用語</x:v>
      </x:c>
      <x:c r="F437" s="106" t="str">
        <x:v>A</x:v>
      </x:c>
      <x:c r="G437" s="106" t="str"/>
      <x:c r="H437" s="18" t="str">
        <x:v>炭素の元素記号</x:v>
      </x:c>
      <x:c r="I437" s="18" t="str">
        <x:v>C。炭素原子を表す元素記号で、二酸化（さんか）炭素CO₂や酸化銅から炭素で酸素を奪う反応などに使う。つながり：炭素／CO₂／有機物</x:v>
      </x:c>
      <x:c r="J437" s="18" t="str">
        <x:v>炭素／CO₂／有機物</x:v>
      </x:c>
    </x:row>
    <x:row r="438" ht="62" customHeight="1">
      <x:c r="A438" s="106" t="str">
        <x:v>CHE-167</x:v>
      </x:c>
      <x:c r="B438" s="106" t="str">
        <x:v>化学</x:v>
      </x:c>
      <x:c r="C438" s="106" t="str">
        <x:v>中2</x:v>
      </x:c>
      <x:c r="D438" s="106" t="str">
        <x:v>元素記号</x:v>
      </x:c>
      <x:c r="E438" s="106" t="str">
        <x:v>用語</x:v>
      </x:c>
      <x:c r="F438" s="106" t="str">
        <x:v>A</x:v>
      </x:c>
      <x:c r="G438" s="106" t="str"/>
      <x:c r="H438" s="18" t="str">
        <x:v>窒素の元素記号</x:v>
      </x:c>
      <x:c r="I438" s="18" t="str">
        <x:v>N。窒素分子の化学式はN₂で、空気中に最も多い気体である。元素記号Nと分子N₂を区別する。つながり：窒素／N₂／空気</x:v>
      </x:c>
      <x:c r="J438" s="18" t="str">
        <x:v>窒素／N₂／空気</x:v>
      </x:c>
    </x:row>
    <x:row r="439" ht="62" customHeight="1">
      <x:c r="A439" s="106" t="str">
        <x:v>CHE-168</x:v>
      </x:c>
      <x:c r="B439" s="106" t="str">
        <x:v>化学</x:v>
      </x:c>
      <x:c r="C439" s="106" t="str">
        <x:v>中2</x:v>
      </x:c>
      <x:c r="D439" s="106" t="str">
        <x:v>元素記号</x:v>
      </x:c>
      <x:c r="E439" s="106" t="str">
        <x:v>用語</x:v>
      </x:c>
      <x:c r="F439" s="106" t="str">
        <x:v>A</x:v>
      </x:c>
      <x:c r="G439" s="106" t="str"/>
      <x:c r="H439" s="18" t="str">
        <x:v>酸素の元素記号</x:v>
      </x:c>
      <x:c r="I439" s="18" t="str">
        <x:v>O。酸素分子はO₂、オゾンはO₃で、同じ酸素原子からできても分子のつくりが異なる。つながり：酸素／O₂／酸化（さんか）</x:v>
      </x:c>
      <x:c r="J439" s="18" t="str">
        <x:v>酸素／O₂／酸化さんか&lt;／rt&gt;&lt;／ruby&gt;</x:v>
      </x:c>
    </x:row>
    <x:row r="440" ht="62" customHeight="1">
      <x:c r="A440" s="106" t="str">
        <x:v>CHE-169</x:v>
      </x:c>
      <x:c r="B440" s="106" t="str">
        <x:v>化学</x:v>
      </x:c>
      <x:c r="C440" s="106" t="str">
        <x:v>中2</x:v>
      </x:c>
      <x:c r="D440" s="106" t="str">
        <x:v>元素記号</x:v>
      </x:c>
      <x:c r="E440" s="106" t="str">
        <x:v>用語</x:v>
      </x:c>
      <x:c r="F440" s="106" t="str">
        <x:v>A</x:v>
      </x:c>
      <x:c r="G440" s="106" t="str"/>
      <x:c r="H440" s="18" t="str">
        <x:v>硫黄の元素記号</x:v>
      </x:c>
      <x:c r="I440" s="18" t="str">
        <x:v>S。鉄Feと硫黄Sが化合すると硫化（りゅうか）鉄FeSになる。日本語名の頭文字ではなく、決められた記号を使う。つながり：硫黄／FeS／硫化</x:v>
      </x:c>
      <x:c r="J440" s="18" t="str">
        <x:v>硫黄／FeS／硫化</x:v>
      </x:c>
    </x:row>
    <x:row r="441" ht="62" customHeight="1">
      <x:c r="A441" s="106" t="str">
        <x:v>CHE-170</x:v>
      </x:c>
      <x:c r="B441" s="106" t="str">
        <x:v>化学</x:v>
      </x:c>
      <x:c r="C441" s="106" t="str">
        <x:v>中2</x:v>
      </x:c>
      <x:c r="D441" s="106" t="str">
        <x:v>元素記号</x:v>
      </x:c>
      <x:c r="E441" s="106" t="str">
        <x:v>用語</x:v>
      </x:c>
      <x:c r="F441" s="106" t="str">
        <x:v>A</x:v>
      </x:c>
      <x:c r="G441" s="106" t="str"/>
      <x:c r="H441" s="18" t="str">
        <x:v>塩素の元素記号</x:v>
      </x:c>
      <x:c r="I441" s="18" t="str">
        <x:v>Cl。Cは炭素なので、塩素は大文字Cと小文字lを続ける。塩素分子はCl₂、塩化物イオンはCl⁻。つながり：塩素／Cl₂／Cl⁻</x:v>
      </x:c>
      <x:c r="J441" s="18" t="str">
        <x:v>塩素／Cl₂／Cl⁻</x:v>
      </x:c>
    </x:row>
    <x:row r="442" ht="62" customHeight="1">
      <x:c r="A442" s="106" t="str">
        <x:v>CHE-171</x:v>
      </x:c>
      <x:c r="B442" s="106" t="str">
        <x:v>化学</x:v>
      </x:c>
      <x:c r="C442" s="106" t="str">
        <x:v>中2</x:v>
      </x:c>
      <x:c r="D442" s="106" t="str">
        <x:v>元素記号</x:v>
      </x:c>
      <x:c r="E442" s="106" t="str">
        <x:v>用語</x:v>
      </x:c>
      <x:c r="F442" s="106" t="str">
        <x:v>A</x:v>
      </x:c>
      <x:c r="G442" s="106" t="str"/>
      <x:c r="H442" s="18" t="str">
        <x:v>ナトリウムの元素記号</x:v>
      </x:c>
      <x:c r="I442" s="18" t="str">
        <x:v>Na。英語名の頭文字だけではなく、ラテン語名に由来する。ナトリウムイオンはNa⁺、塩化ナトリウムはNaCl。つながり：ナトリウム／Na⁺／NaCl</x:v>
      </x:c>
      <x:c r="J442" s="18" t="str">
        <x:v>ナトリウム／Na⁺／NaCl</x:v>
      </x:c>
    </x:row>
    <x:row r="443" ht="62" customHeight="1">
      <x:c r="A443" s="106" t="str">
        <x:v>CHE-172</x:v>
      </x:c>
      <x:c r="B443" s="106" t="str">
        <x:v>化学</x:v>
      </x:c>
      <x:c r="C443" s="106" t="str">
        <x:v>中2</x:v>
      </x:c>
      <x:c r="D443" s="106" t="str">
        <x:v>元素記号</x:v>
      </x:c>
      <x:c r="E443" s="106" t="str">
        <x:v>用語</x:v>
      </x:c>
      <x:c r="F443" s="106" t="str">
        <x:v>A</x:v>
      </x:c>
      <x:c r="G443" s="106" t="str"/>
      <x:c r="H443" s="18" t="str">
        <x:v>マグネシウムの元素記号</x:v>
      </x:c>
      <x:c r="I443" s="18" t="str">
        <x:v>Mg。最初のMだけを大文字、gを小文字で書く。酸素と反応すると酸化（さんか）マグネシウムMgOになる。つながり：マグネシウム／MgO／燃焼</x:v>
      </x:c>
      <x:c r="J443" s="18" t="str">
        <x:v>マグネシウム／MgO／燃焼</x:v>
      </x:c>
    </x:row>
    <x:row r="444" ht="62" customHeight="1">
      <x:c r="A444" s="106" t="str">
        <x:v>CHE-173</x:v>
      </x:c>
      <x:c r="B444" s="106" t="str">
        <x:v>化学</x:v>
      </x:c>
      <x:c r="C444" s="106" t="str">
        <x:v>中2</x:v>
      </x:c>
      <x:c r="D444" s="106" t="str">
        <x:v>元素記号</x:v>
      </x:c>
      <x:c r="E444" s="106" t="str">
        <x:v>用語</x:v>
      </x:c>
      <x:c r="F444" s="106" t="str">
        <x:v>B</x:v>
      </x:c>
      <x:c r="G444" s="106" t="str"/>
      <x:c r="H444" s="18" t="str">
        <x:v>アルミニウムの元素記号</x:v>
      </x:c>
      <x:c r="I444" s="18" t="str">
        <x:v>Al。Aを大文字、lを小文字で書く。Clの塩素と同様、小文字のlを数字1と取り違えない。つながり：アルミニウム／金属／元素</x:v>
      </x:c>
      <x:c r="J444" s="18" t="str">
        <x:v>アルミニウム／金属／元素</x:v>
      </x:c>
    </x:row>
    <x:row r="445" ht="62" customHeight="1">
      <x:c r="A445" s="106" t="str">
        <x:v>CHE-174</x:v>
      </x:c>
      <x:c r="B445" s="106" t="str">
        <x:v>化学</x:v>
      </x:c>
      <x:c r="C445" s="106" t="str">
        <x:v>中2</x:v>
      </x:c>
      <x:c r="D445" s="106" t="str">
        <x:v>元素記号</x:v>
      </x:c>
      <x:c r="E445" s="106" t="str">
        <x:v>用語</x:v>
      </x:c>
      <x:c r="F445" s="106" t="str">
        <x:v>B</x:v>
      </x:c>
      <x:c r="G445" s="106" t="str"/>
      <x:c r="H445" s="18" t="str">
        <x:v>カリウムの元素記号</x:v>
      </x:c>
      <x:c r="I445" s="18" t="str">
        <x:v>K。日本語名の頭文字とは一致しない記号の一つ。カリウムイオンは電子を1個失ったK⁺である。つながり：カリウム／K⁺／陽イオン（よういおん）</x:v>
      </x:c>
      <x:c r="J445" s="18" t="str">
        <x:v>カリウム／K⁺／陽イオンよういおん&lt;／rt&gt;&lt;／ruby&gt;</x:v>
      </x:c>
    </x:row>
    <x:row r="446" ht="62" customHeight="1">
      <x:c r="A446" s="106" t="str">
        <x:v>CHE-175</x:v>
      </x:c>
      <x:c r="B446" s="106" t="str">
        <x:v>化学</x:v>
      </x:c>
      <x:c r="C446" s="106" t="str">
        <x:v>中2</x:v>
      </x:c>
      <x:c r="D446" s="106" t="str">
        <x:v>元素記号</x:v>
      </x:c>
      <x:c r="E446" s="106" t="str">
        <x:v>用語</x:v>
      </x:c>
      <x:c r="F446" s="106" t="str">
        <x:v>A</x:v>
      </x:c>
      <x:c r="G446" s="106" t="str"/>
      <x:c r="H446" s="18" t="str">
        <x:v>カルシウムの元素記号</x:v>
      </x:c>
      <x:c r="I446" s="18" t="str">
        <x:v>Ca。Cだけなら炭素なので、小文字aまで書く。カルシウムイオンはCa²⁺である。つながり：カルシウム／Ca²⁺／石灰石</x:v>
      </x:c>
      <x:c r="J446" s="18" t="str">
        <x:v>カルシウム／Ca²⁺／石灰石</x:v>
      </x:c>
    </x:row>
    <x:row r="447" ht="62" customHeight="1">
      <x:c r="A447" s="106" t="str">
        <x:v>CHE-176</x:v>
      </x:c>
      <x:c r="B447" s="106" t="str">
        <x:v>化学</x:v>
      </x:c>
      <x:c r="C447" s="106" t="str">
        <x:v>中2</x:v>
      </x:c>
      <x:c r="D447" s="106" t="str">
        <x:v>元素記号</x:v>
      </x:c>
      <x:c r="E447" s="106" t="str">
        <x:v>用語</x:v>
      </x:c>
      <x:c r="F447" s="106" t="str">
        <x:v>A</x:v>
      </x:c>
      <x:c r="G447" s="106" t="str"/>
      <x:c r="H447" s="18" t="str">
        <x:v>鉄の元素記号</x:v>
      </x:c>
      <x:c r="I447" s="18" t="str">
        <x:v>Fe。日本語名の頭文字とは一致せず、ラテン語名に由来する。鉄と硫黄の反応はFe＋S→FeS。つながり：鉄／FeS／金属</x:v>
      </x:c>
      <x:c r="J447" s="18" t="str">
        <x:v>鉄／FeS／金属</x:v>
      </x:c>
    </x:row>
    <x:row r="448" ht="62" customHeight="1">
      <x:c r="A448" s="106" t="str">
        <x:v>CHE-177</x:v>
      </x:c>
      <x:c r="B448" s="106" t="str">
        <x:v>化学</x:v>
      </x:c>
      <x:c r="C448" s="106" t="str">
        <x:v>中2</x:v>
      </x:c>
      <x:c r="D448" s="106" t="str">
        <x:v>元素記号</x:v>
      </x:c>
      <x:c r="E448" s="106" t="str">
        <x:v>用語</x:v>
      </x:c>
      <x:c r="F448" s="106" t="str">
        <x:v>A</x:v>
      </x:c>
      <x:c r="G448" s="106" t="str"/>
      <x:c r="H448" s="18" t="str">
        <x:v>銅の元素記号</x:v>
      </x:c>
      <x:c r="I448" s="18" t="str">
        <x:v>Cu。ラテン語名に由来する。銅原子Cuと銅イオンCu²⁺は電荷の有無が異なる。つながり：銅／Cu²⁺／酸化（さんか）銅</x:v>
      </x:c>
      <x:c r="J448" s="18" t="str">
        <x:v>銅／Cu²⁺／酸化さんか&lt;／rt&gt;&lt;／ruby&gt;銅</x:v>
      </x:c>
    </x:row>
    <x:row r="449" ht="62" customHeight="1">
      <x:c r="A449" s="106" t="str">
        <x:v>CHE-178</x:v>
      </x:c>
      <x:c r="B449" s="106" t="str">
        <x:v>化学</x:v>
      </x:c>
      <x:c r="C449" s="106" t="str">
        <x:v>中2</x:v>
      </x:c>
      <x:c r="D449" s="106" t="str">
        <x:v>元素記号</x:v>
      </x:c>
      <x:c r="E449" s="106" t="str">
        <x:v>用語</x:v>
      </x:c>
      <x:c r="F449" s="106" t="str">
        <x:v>A</x:v>
      </x:c>
      <x:c r="G449" s="106" t="str"/>
      <x:c r="H449" s="18" t="str">
        <x:v>亜鉛（あえん）の元素記号</x:v>
      </x:c>
      <x:c r="I449" s="18" t="str">
        <x:v>Zn。亜鉛（あえん）と塩酸の反応はZn＋2HCl→ZnCl₂＋H₂。亜鉛イオンはZn²⁺である。つながり：亜鉛／Zn²⁺／水素</x:v>
      </x:c>
      <x:c r="J449" s="18" t="str">
        <x:v>亜鉛／Zn²⁺／水素</x:v>
      </x:c>
    </x:row>
    <x:row r="450" ht="62" customHeight="1">
      <x:c r="A450" s="106" t="str">
        <x:v>CHE-179</x:v>
      </x:c>
      <x:c r="B450" s="106" t="str">
        <x:v>化学</x:v>
      </x:c>
      <x:c r="C450" s="106" t="str">
        <x:v>中2</x:v>
      </x:c>
      <x:c r="D450" s="106" t="str">
        <x:v>元素記号</x:v>
      </x:c>
      <x:c r="E450" s="106" t="str">
        <x:v>用語</x:v>
      </x:c>
      <x:c r="F450" s="106" t="str">
        <x:v>A</x:v>
      </x:c>
      <x:c r="G450" s="106" t="str"/>
      <x:c r="H450" s="18" t="str">
        <x:v>銀の元素記号</x:v>
      </x:c>
      <x:c r="I450" s="18" t="str">
        <x:v>Ag。日本語名の頭文字とは一致せず、ラテン語名に由来する。銀イオンはAg⁺である。つながり：銀／Ag⁺／金属</x:v>
      </x:c>
      <x:c r="J450" s="18" t="str">
        <x:v>銀／Ag⁺／金属</x:v>
      </x:c>
    </x:row>
    <x:row r="451" ht="62" customHeight="1">
      <x:c r="A451" s="106" t="str">
        <x:v>CHE-180</x:v>
      </x:c>
      <x:c r="B451" s="106" t="str">
        <x:v>化学</x:v>
      </x:c>
      <x:c r="C451" s="106" t="str">
        <x:v>中2</x:v>
      </x:c>
      <x:c r="D451" s="106" t="str">
        <x:v>元素記号</x:v>
      </x:c>
      <x:c r="E451" s="106" t="str">
        <x:v>用語</x:v>
      </x:c>
      <x:c r="F451" s="106" t="str">
        <x:v>B</x:v>
      </x:c>
      <x:c r="G451" s="106" t="str"/>
      <x:c r="H451" s="18" t="str">
        <x:v>バリウムの元素記号</x:v>
      </x:c>
      <x:c r="I451" s="18" t="str">
        <x:v>Ba。Bを大文字、aを小文字で書く。バリウムイオンBa²⁺は硫酸イオンSO₄²⁻と硫酸バリウムの白色沈殿（ちんでん）をつくる。つながり：バリウム／Ba²⁺／白色沈殿</x:v>
      </x:c>
      <x:c r="J451" s="18" t="str">
        <x:v>バリウム／Ba²⁺／白色沈殿</x:v>
      </x:c>
    </x:row>
    <x:row r="452" ht="62" customHeight="1">
      <x:c r="A452" s="106" t="str">
        <x:v>BIO-035</x:v>
      </x:c>
      <x:c r="B452" s="106" t="str">
        <x:v>生物</x:v>
      </x:c>
      <x:c r="C452" s="106" t="str">
        <x:v>中2</x:v>
      </x:c>
      <x:c r="D452" s="106" t="str">
        <x:v>人体</x:v>
      </x:c>
      <x:c r="E452" s="106" t="str">
        <x:v>因果</x:v>
      </x:c>
      <x:c r="F452" s="106" t="str">
        <x:v>B</x:v>
      </x:c>
      <x:c r="G452" s="106" t="str"/>
      <x:c r="H452" s="18" t="str">
        <x:v>感覚と反応</x:v>
      </x:c>
      <x:c r="I452" s="18" t="str">
        <x:v>目・耳・鼻・舌・皮膚などの感覚器官が刺激を受け、神経が情報を脳などへ伝える。脳が判断し、運動神経を通じて筋肉などが反応する。つながり：感覚器官／神経／脳／筋肉</x:v>
      </x:c>
      <x:c r="J452" s="18" t="str">
        <x:v>感覚器官／神経／脳／筋肉</x:v>
      </x:c>
    </x:row>
    <x:row r="453" ht="62" customHeight="1">
      <x:c r="A453" s="106" t="str">
        <x:v>BIO-036</x:v>
      </x:c>
      <x:c r="B453" s="106" t="str">
        <x:v>生物</x:v>
      </x:c>
      <x:c r="C453" s="106" t="str">
        <x:v>中2</x:v>
      </x:c>
      <x:c r="D453" s="106" t="str">
        <x:v>細胞</x:v>
      </x:c>
      <x:c r="E453" s="106" t="str">
        <x:v>用語</x:v>
      </x:c>
      <x:c r="F453" s="106" t="str">
        <x:v>A</x:v>
      </x:c>
      <x:c r="G453" s="106" t="n">
        <x:v>74</x:v>
      </x:c>
      <x:c r="H453" s="18" t="str">
        <x:v>細胞</x:v>
      </x:c>
      <x:c r="I453" s="18" t="str">
        <x:v>生物の体をつくる基本単位。1個の細胞で生活する単細胞生物も、多数の細胞からなる多細胞生物もいる。細胞は成長・呼吸など生命活動の場でもある。つながり：単細胞生物／多細胞生物／核／細胞質</x:v>
      </x:c>
      <x:c r="J453" s="18" t="str">
        <x:v>単細胞生物／多細胞生物／核／細胞質</x:v>
      </x:c>
    </x:row>
    <x:row r="454" ht="62" customHeight="1">
      <x:c r="A454" s="106" t="str">
        <x:v>BIO-037</x:v>
      </x:c>
      <x:c r="B454" s="106" t="str">
        <x:v>生物</x:v>
      </x:c>
      <x:c r="C454" s="106" t="str">
        <x:v>中2</x:v>
      </x:c>
      <x:c r="D454" s="106" t="str">
        <x:v>細胞</x:v>
      </x:c>
      <x:c r="E454" s="106" t="str">
        <x:v>比較</x:v>
      </x:c>
      <x:c r="F454" s="106" t="str">
        <x:v>A</x:v>
      </x:c>
      <x:c r="G454" s="106" t="n">
        <x:v>75</x:v>
      </x:c>
      <x:c r="H454" s="18" t="str">
        <x:v>植物細胞と動物細胞の共通部分</x:v>
      </x:c>
      <x:c r="I454" s="18" t="str">
        <x:v>どちらにも核・細胞質・細胞膜がある。核には遺伝（いでん）情報があり、細胞膜は物質の出入りを調節する。植物細胞だけの構造と混同しない。つながり：核／細胞質／細胞膜／遺伝子</x:v>
      </x:c>
      <x:c r="J454" s="18" t="str">
        <x:v>核／細胞質／細胞膜／遺伝子</x:v>
      </x:c>
    </x:row>
    <x:row r="455" ht="62" customHeight="1">
      <x:c r="A455" s="106" t="str">
        <x:v>BIO-038</x:v>
      </x:c>
      <x:c r="B455" s="106" t="str">
        <x:v>生物</x:v>
      </x:c>
      <x:c r="C455" s="106" t="str">
        <x:v>中2</x:v>
      </x:c>
      <x:c r="D455" s="106" t="str">
        <x:v>細胞</x:v>
      </x:c>
      <x:c r="E455" s="106" t="str">
        <x:v>比較</x:v>
      </x:c>
      <x:c r="F455" s="106" t="str">
        <x:v>A</x:v>
      </x:c>
      <x:c r="G455" s="106" t="n">
        <x:v>76</x:v>
      </x:c>
      <x:c r="H455" s="18" t="str">
        <x:v>植物細胞に特徴的な構造</x:v>
      </x:c>
      <x:c r="I455" s="18" t="str">
        <x:v>細胞壁・葉緑体・発達した液胞が目立つ。細胞壁は形を支え、葉緑体は光合成を行い、液胞には細胞液が入る。根など光合成しない植物細胞には葉緑体がない場合もある。つながり：細胞壁／葉緑体／液胞／植物細胞</x:v>
      </x:c>
      <x:c r="J455" s="18" t="str">
        <x:v>細胞壁／葉緑体／液胞／植物細胞</x:v>
      </x:c>
    </x:row>
    <x:row r="456" ht="62" customHeight="1">
      <x:c r="A456" s="106" t="str">
        <x:v>BIO-039</x:v>
      </x:c>
      <x:c r="B456" s="106" t="str">
        <x:v>生物</x:v>
      </x:c>
      <x:c r="C456" s="106" t="str">
        <x:v>中2</x:v>
      </x:c>
      <x:c r="D456" s="106" t="str">
        <x:v>細胞</x:v>
      </x:c>
      <x:c r="E456" s="106" t="str">
        <x:v>用語</x:v>
      </x:c>
      <x:c r="F456" s="106" t="str">
        <x:v>A</x:v>
      </x:c>
      <x:c r="G456" s="106" t="str"/>
      <x:c r="H456" s="18" t="str">
        <x:v>核（細胞）</x:v>
      </x:c>
      <x:c r="I456" s="18" t="str">
        <x:v>細胞内にあり、染色体を通して遺伝（いでん）情報をもつ構造。酢酸カーミン液や酢酸オルセイン液などで染まりやすい。成熟したヒトの赤血球のように核を失う細胞もある。つながり：染色体／DNA／遺伝子／細胞分裂</x:v>
      </x:c>
      <x:c r="J456" s="18" t="str">
        <x:v>染色体／DNA／遺伝子／細胞分裂</x:v>
      </x:c>
    </x:row>
    <x:row r="457" ht="62" customHeight="1">
      <x:c r="A457" s="106" t="str">
        <x:v>BIO-040</x:v>
      </x:c>
      <x:c r="B457" s="106" t="str">
        <x:v>生物</x:v>
      </x:c>
      <x:c r="C457" s="106" t="str">
        <x:v>中2</x:v>
      </x:c>
      <x:c r="D457" s="106" t="str">
        <x:v>細胞</x:v>
      </x:c>
      <x:c r="E457" s="106" t="str">
        <x:v>比較</x:v>
      </x:c>
      <x:c r="F457" s="106" t="str">
        <x:v>A</x:v>
      </x:c>
      <x:c r="G457" s="106" t="str"/>
      <x:c r="H457" s="18" t="str">
        <x:v>細胞膜と細胞壁の違い</x:v>
      </x:c>
      <x:c r="I457" s="18" t="str">
        <x:v>細胞膜は動植物細胞の両方にあり、細胞の内外を仕切って物質の出入りを調節する。細胞壁は植物細胞などで細胞膜の外側にあり、丈夫で形を支える。つながり：細胞膜／細胞壁／植物細胞／動物細胞</x:v>
      </x:c>
      <x:c r="J457" s="18" t="str">
        <x:v>細胞膜／細胞壁／植物細胞／動物細胞</x:v>
      </x:c>
    </x:row>
    <x:row r="458" ht="62" customHeight="1">
      <x:c r="A458" s="106" t="str">
        <x:v>BIO-041</x:v>
      </x:c>
      <x:c r="B458" s="106" t="str">
        <x:v>生物</x:v>
      </x:c>
      <x:c r="C458" s="106" t="str">
        <x:v>中2</x:v>
      </x:c>
      <x:c r="D458" s="106" t="str">
        <x:v>細胞</x:v>
      </x:c>
      <x:c r="E458" s="106" t="str">
        <x:v>用語</x:v>
      </x:c>
      <x:c r="F458" s="106" t="str">
        <x:v>A</x:v>
      </x:c>
      <x:c r="G458" s="106" t="str"/>
      <x:c r="H458" s="18" t="str">
        <x:v>葉緑体</x:v>
      </x:c>
      <x:c r="I458" s="18" t="str">
        <x:v>植物の緑色の部分の細胞に多く、葉緑素を含んで光合成を行う。すべての植物細胞にあるわけではなく、タマネギの鱗片葉や根の細胞には通常見られない。つながり：光合成／葉緑素／植物細胞／デンプン</x:v>
      </x:c>
      <x:c r="J458" s="18" t="str">
        <x:v>光合成／葉緑素／植物細胞／デンプン</x:v>
      </x:c>
    </x:row>
    <x:row r="459" ht="62" customHeight="1">
      <x:c r="A459" s="106" t="str">
        <x:v>BIO-042</x:v>
      </x:c>
      <x:c r="B459" s="106" t="str">
        <x:v>生物</x:v>
      </x:c>
      <x:c r="C459" s="106" t="str">
        <x:v>中2</x:v>
      </x:c>
      <x:c r="D459" s="106" t="str">
        <x:v>細胞</x:v>
      </x:c>
      <x:c r="E459" s="106" t="str">
        <x:v>用語</x:v>
      </x:c>
      <x:c r="F459" s="106" t="str">
        <x:v>B</x:v>
      </x:c>
      <x:c r="G459" s="106" t="str"/>
      <x:c r="H459" s="18" t="str">
        <x:v>液胞</x:v>
      </x:c>
      <x:c r="I459" s="18" t="str">
        <x:v>細胞液を含む袋状の構造。成熟した植物細胞では大きく発達し、水や色素・不要物などを蓄え、細胞の張りにも関わる。動物細胞では目立つ大きな液胞はない。つながり：細胞液／植物細胞／細胞質／浸透</x:v>
      </x:c>
      <x:c r="J459" s="18" t="str">
        <x:v>細胞液／植物細胞／細胞質／浸透</x:v>
      </x:c>
    </x:row>
    <x:row r="460" ht="62" customHeight="1">
      <x:c r="A460" s="106" t="str">
        <x:v>BIO-043</x:v>
      </x:c>
      <x:c r="B460" s="106" t="str">
        <x:v>生物</x:v>
      </x:c>
      <x:c r="C460" s="106" t="str">
        <x:v>中2</x:v>
      </x:c>
      <x:c r="D460" s="106" t="str">
        <x:v>細胞</x:v>
      </x:c>
      <x:c r="E460" s="106" t="str">
        <x:v>比較</x:v>
      </x:c>
      <x:c r="F460" s="106" t="str">
        <x:v>A</x:v>
      </x:c>
      <x:c r="G460" s="106" t="str"/>
      <x:c r="H460" s="18" t="str">
        <x:v>単細胞生物と多細胞生物</x:v>
      </x:c>
      <x:c r="I460" s="18" t="str">
        <x:v>単細胞生物は1個の細胞で生命活動をすべて行う。多細胞生物では細胞が分業し、同じ形・はたらきの細胞が組織、組織が器官、器官が個体をつくる。つながり：組織／器官／個体／細胞</x:v>
      </x:c>
      <x:c r="J460" s="18" t="str">
        <x:v>組織／器官／個体／細胞</x:v>
      </x:c>
    </x:row>
    <x:row r="461" ht="62" customHeight="1">
      <x:c r="A461" s="106" t="str">
        <x:v>BIO-049</x:v>
      </x:c>
      <x:c r="B461" s="106" t="str">
        <x:v>生物</x:v>
      </x:c>
      <x:c r="C461" s="106" t="str">
        <x:v>中2</x:v>
      </x:c>
      <x:c r="D461" s="106" t="str">
        <x:v>顕微鏡</x:v>
      </x:c>
      <x:c r="E461" s="106" t="str">
        <x:v>実験</x:v>
      </x:c>
      <x:c r="F461" s="106" t="str">
        <x:v>B</x:v>
      </x:c>
      <x:c r="G461" s="106" t="str"/>
      <x:c r="H461" s="18" t="str">
        <x:v>細胞を染色する理由</x:v>
      </x:c>
      <x:c r="I461" s="18" t="str">
        <x:v>核など透明で見えにくい構造に色をつけ、輪郭や分裂中の染色体を見やすくするため。タマネギの細胞などには酢酸オルセイン液や酢酸カーミン液を用いる。つながり：核／染色体／酢酸オルセイン液／顕微鏡（けんびきょう）</x:v>
      </x:c>
      <x:c r="J461" s="18" t="str">
        <x:v>核／染色体／酢酸オルセイン液／顕微鏡けんびきょう&lt;／rt&gt;&lt;／ruby&gt;</x:v>
      </x:c>
    </x:row>
    <x:row r="462" ht="62" customHeight="1">
      <x:c r="A462" s="106" t="str">
        <x:v>BIO-077</x:v>
      </x:c>
      <x:c r="B462" s="106" t="str">
        <x:v>生物</x:v>
      </x:c>
      <x:c r="C462" s="106" t="str">
        <x:v>中2</x:v>
      </x:c>
      <x:c r="D462" s="106" t="str">
        <x:v>植物の体</x:v>
      </x:c>
      <x:c r="E462" s="106" t="str">
        <x:v>用語</x:v>
      </x:c>
      <x:c r="F462" s="106" t="str">
        <x:v>A</x:v>
      </x:c>
      <x:c r="G462" s="106" t="str"/>
      <x:c r="H462" s="18" t="str">
        <x:v>根毛</x:v>
      </x:c>
      <x:c r="I462" s="18" t="str">
        <x:v>根の先端近くの表皮細胞が細長く伸びたもの。土粒のすき間に入り、根の表面積を大きくして水と無機養分を吸収しやすくする。細い根そのものとは区別する。つながり：根／吸水／表面積／無機養分</x:v>
      </x:c>
      <x:c r="J462" s="18" t="str">
        <x:v>根／吸水／表面積／無機養分</x:v>
      </x:c>
    </x:row>
    <x:row r="463" ht="62" customHeight="1">
      <x:c r="A463" s="106" t="str">
        <x:v>BIO-078</x:v>
      </x:c>
      <x:c r="B463" s="106" t="str">
        <x:v>生物</x:v>
      </x:c>
      <x:c r="C463" s="106" t="str">
        <x:v>中2</x:v>
      </x:c>
      <x:c r="D463" s="106" t="str">
        <x:v>植物の体</x:v>
      </x:c>
      <x:c r="E463" s="106" t="str">
        <x:v>用語</x:v>
      </x:c>
      <x:c r="F463" s="106" t="str">
        <x:v>A</x:v>
      </x:c>
      <x:c r="G463" s="106" t="str"/>
      <x:c r="H463" s="18" t="str">
        <x:v>道管（どうかん）</x:v>
      </x:c>
      <x:c r="I463" s="18" t="str">
        <x:v>根から吸収した水と無機養分を主に上向きに運ぶ管。茎の維管束（いかんそく）内では、双子葉類（そうしようるい）なら一般に内側、葉では葉脈に含まれる。古い細胞が管状につながっている。つながり：師管（しかん）／維管束／蒸散（じょうさん）／吸水</x:v>
      </x:c>
      <x:c r="J463" s="18" t="str">
        <x:v>師管しかん&lt;／rt&gt;&lt;／ruby&gt;／維管束／蒸散じょうさん&lt;／rt&gt;&lt;／ruby&gt;／吸水</x:v>
      </x:c>
    </x:row>
    <x:row r="464" ht="62" customHeight="1">
      <x:c r="A464" s="106" t="str">
        <x:v>BIO-079</x:v>
      </x:c>
      <x:c r="B464" s="106" t="str">
        <x:v>生物</x:v>
      </x:c>
      <x:c r="C464" s="106" t="str">
        <x:v>中2</x:v>
      </x:c>
      <x:c r="D464" s="106" t="str">
        <x:v>植物の体</x:v>
      </x:c>
      <x:c r="E464" s="106" t="str">
        <x:v>用語</x:v>
      </x:c>
      <x:c r="F464" s="106" t="str">
        <x:v>A</x:v>
      </x:c>
      <x:c r="G464" s="106" t="str"/>
      <x:c r="H464" s="18" t="str">
        <x:v>師管（しかん）</x:v>
      </x:c>
      <x:c r="I464" s="18" t="str">
        <x:v>葉でつくられた糖などの有機物を、成長部や根・果実など必要な場所へ運ぶ管。運ばれる向きは必要部位により変わり、常に下向きとは限らない。つながり：道管（どうかん）／維管束（いかんそく）／光合成／転流</x:v>
      </x:c>
      <x:c r="J464" s="18" t="str">
        <x:v>道管どうかん&lt;／rt&gt;&lt;／ruby&gt;／維管束いかんそく&lt;／rt&gt;&lt;／ruby&gt;／光合成／転流</x:v>
      </x:c>
    </x:row>
    <x:row r="465" ht="62" customHeight="1">
      <x:c r="A465" s="106" t="str">
        <x:v>BIO-080</x:v>
      </x:c>
      <x:c r="B465" s="106" t="str">
        <x:v>生物</x:v>
      </x:c>
      <x:c r="C465" s="106" t="str">
        <x:v>中2</x:v>
      </x:c>
      <x:c r="D465" s="106" t="str">
        <x:v>植物の体</x:v>
      </x:c>
      <x:c r="E465" s="106" t="str">
        <x:v>比較</x:v>
      </x:c>
      <x:c r="F465" s="106" t="str">
        <x:v>A</x:v>
      </x:c>
      <x:c r="G465" s="106" t="n">
        <x:v>77</x:v>
      </x:c>
      <x:c r="H465" s="18" t="str">
        <x:v>維管束（いかんそく）</x:v>
      </x:c>
      <x:c r="I465" s="18" t="str">
        <x:v>道管（どうかん）と師管（しかん）がまとまった束。双子葉類（そうしようるい）の茎では輪状、単子葉類（たんしようるい）の茎では散らばって並ぶ。根・茎・葉を連続してつなぎ、水や養分を運ぶ。つながり：道管／師管／双子葉類／単子葉類</x:v>
      </x:c>
      <x:c r="J465" s="18" t="str">
        <x:v>道管／師管／双子葉類／単子葉類</x:v>
      </x:c>
    </x:row>
    <x:row r="466" ht="62" customHeight="1">
      <x:c r="A466" s="106" t="str">
        <x:v>BIO-081</x:v>
      </x:c>
      <x:c r="B466" s="106" t="str">
        <x:v>生物</x:v>
      </x:c>
      <x:c r="C466" s="106" t="str">
        <x:v>中2</x:v>
      </x:c>
      <x:c r="D466" s="106" t="str">
        <x:v>植物の体</x:v>
      </x:c>
      <x:c r="E466" s="106" t="str">
        <x:v>読図</x:v>
      </x:c>
      <x:c r="F466" s="106" t="str">
        <x:v>A</x:v>
      </x:c>
      <x:c r="G466" s="106" t="str"/>
      <x:c r="H466" s="18" t="str">
        <x:v>茎の維管束（いかんそく）の並び方</x:v>
      </x:c>
      <x:c r="I466" s="18" t="str">
        <x:v>双子葉類（そうしようるい）では維管束（いかんそく）が輪状に並び、各束の内側が道管（どうかん）、外側が師管（しかん）。単子葉類（たんしようるい）では維管束が全体に散らばる。断面図では根や葉との向きを混同しない。つながり：維管束／道管／師管／茎の断面</x:v>
      </x:c>
      <x:c r="J466" s="18" t="str">
        <x:v>維管束／道管／師管／茎の断面</x:v>
      </x:c>
    </x:row>
    <x:row r="467" ht="62" customHeight="1">
      <x:c r="A467" s="106" t="str">
        <x:v>BIO-082</x:v>
      </x:c>
      <x:c r="B467" s="106" t="str">
        <x:v>生物</x:v>
      </x:c>
      <x:c r="C467" s="106" t="str">
        <x:v>中2</x:v>
      </x:c>
      <x:c r="D467" s="106" t="str">
        <x:v>植物の体</x:v>
      </x:c>
      <x:c r="E467" s="106" t="str">
        <x:v>読図</x:v>
      </x:c>
      <x:c r="F467" s="106" t="str">
        <x:v>A</x:v>
      </x:c>
      <x:c r="G467" s="106" t="str"/>
      <x:c r="H467" s="18" t="str">
        <x:v>葉の断面</x:v>
      </x:c>
      <x:c r="I467" s="18" t="str">
        <x:v>表側と裏側を表皮が覆い、内部の葉肉細胞に葉緑体が多い。葉脈には道管（どうかん）と師管（しかん）が通り、表皮、とくに裏側には気孔（きこう）が多い植物が一般的。つながり：表皮／葉肉／葉脈／気孔</x:v>
      </x:c>
      <x:c r="J467" s="18" t="str">
        <x:v>表皮／葉肉／葉脈／気孔</x:v>
      </x:c>
    </x:row>
    <x:row r="468" ht="62" customHeight="1">
      <x:c r="A468" s="106" t="str">
        <x:v>BIO-083</x:v>
      </x:c>
      <x:c r="B468" s="106" t="str">
        <x:v>生物</x:v>
      </x:c>
      <x:c r="C468" s="106" t="str">
        <x:v>中2</x:v>
      </x:c>
      <x:c r="D468" s="106" t="str">
        <x:v>植物の体</x:v>
      </x:c>
      <x:c r="E468" s="106" t="str">
        <x:v>用語</x:v>
      </x:c>
      <x:c r="F468" s="106" t="str">
        <x:v>A</x:v>
      </x:c>
      <x:c r="G468" s="106" t="str"/>
      <x:c r="H468" s="18" t="str">
        <x:v>気孔（きこう）と孔辺細胞（こうへんさいぼう）</x:v>
      </x:c>
      <x:c r="I468" s="18" t="str">
        <x:v>気孔（きこう）は2個の孔辺細胞に囲まれたすき間で、二酸化（さんか）炭素・酸素・水蒸気が出入りする。孔辺細胞の開閉によって蒸散（じょうさん）と気体交換が調節される。つながり：孔辺細胞／蒸散／気体交換／二酸化炭素</x:v>
      </x:c>
      <x:c r="J468" s="18" t="str">
        <x:v>孔辺細胞／蒸散／気体交換／二酸化炭素</x:v>
      </x:c>
    </x:row>
    <x:row r="469" ht="62" customHeight="1">
      <x:c r="A469" s="106" t="str">
        <x:v>BIO-084</x:v>
      </x:c>
      <x:c r="B469" s="106" t="str">
        <x:v>生物</x:v>
      </x:c>
      <x:c r="C469" s="106" t="str">
        <x:v>中2</x:v>
      </x:c>
      <x:c r="D469" s="106" t="str">
        <x:v>光合成と呼吸</x:v>
      </x:c>
      <x:c r="E469" s="106" t="str">
        <x:v>因果</x:v>
      </x:c>
      <x:c r="F469" s="106" t="str">
        <x:v>A</x:v>
      </x:c>
      <x:c r="G469" s="106" t="n">
        <x:v>78</x:v>
      </x:c>
      <x:c r="H469" s="18" t="str">
        <x:v>光合成の物質の出入り</x:v>
      </x:c>
      <x:c r="I469" s="18" t="str">
        <x:v>二酸化（さんか）炭素＋水→有機物（デンプンなど）＋酸素、という向きで捉える。光エネルギーを化学エネルギーとして有機物に蓄える反応で、葉緑体で行われる。つながり：二酸化炭素／水／酸素／有機物</x:v>
      </x:c>
      <x:c r="J469" s="18" t="str">
        <x:v>二酸化炭素／水／酸素／有機物</x:v>
      </x:c>
    </x:row>
    <x:row r="470" ht="62" customHeight="1">
      <x:c r="A470" s="106" t="str">
        <x:v>BIO-085</x:v>
      </x:c>
      <x:c r="B470" s="106" t="str">
        <x:v>生物</x:v>
      </x:c>
      <x:c r="C470" s="106" t="str">
        <x:v>中2</x:v>
      </x:c>
      <x:c r="D470" s="106" t="str">
        <x:v>光合成と呼吸</x:v>
      </x:c>
      <x:c r="E470" s="106" t="str">
        <x:v>誤解対策</x:v>
      </x:c>
      <x:c r="F470" s="106" t="str">
        <x:v>A</x:v>
      </x:c>
      <x:c r="G470" s="106" t="n">
        <x:v>94</x:v>
      </x:c>
      <x:c r="H470" s="18" t="str">
        <x:v>植物の呼吸</x:v>
      </x:c>
      <x:c r="I470" s="18" t="str">
        <x:v>植物も昼夜を通して、細胞で有機物と酸素を使い、二酸化（さんか）炭素と水を生じながらエネルギーを取り出す。昼は光合成量が呼吸量を上回りやすく、見かけ上は二酸化炭素を吸収する。つながり：細胞呼吸／光合成／酸素／二酸化炭素</x:v>
      </x:c>
      <x:c r="J470" s="18" t="str">
        <x:v>細胞呼吸／光合成／酸素／二酸化炭素</x:v>
      </x:c>
    </x:row>
    <x:row r="471" ht="62" customHeight="1">
      <x:c r="A471" s="106" t="str">
        <x:v>BIO-086</x:v>
      </x:c>
      <x:c r="B471" s="106" t="str">
        <x:v>生物</x:v>
      </x:c>
      <x:c r="C471" s="106" t="str">
        <x:v>中2</x:v>
      </x:c>
      <x:c r="D471" s="106" t="str">
        <x:v>光合成と呼吸</x:v>
      </x:c>
      <x:c r="E471" s="106" t="str">
        <x:v>計算</x:v>
      </x:c>
      <x:c r="F471" s="106" t="str">
        <x:v>B</x:v>
      </x:c>
      <x:c r="G471" s="106" t="str"/>
      <x:c r="H471" s="18" t="str">
        <x:v>光合成量・呼吸量・見かけの光合成量</x:v>
      </x:c>
      <x:c r="I471" s="18" t="str">
        <x:v>見かけの光合成量＝真の光合成量－呼吸量。したがって、真の光合成量＝見かけの光合成量＋呼吸量。明所で放出された酸素だけを真の光合成量としない。つながり：光合成／呼吸／酸素／補償点</x:v>
      </x:c>
      <x:c r="J471" s="18" t="str">
        <x:v>光合成／呼吸／酸素／補償点</x:v>
      </x:c>
    </x:row>
    <x:row r="472" ht="62" customHeight="1">
      <x:c r="A472" s="106" t="str">
        <x:v>BIO-087</x:v>
      </x:c>
      <x:c r="B472" s="106" t="str">
        <x:v>生物</x:v>
      </x:c>
      <x:c r="C472" s="106" t="str">
        <x:v>中2</x:v>
      </x:c>
      <x:c r="D472" s="106" t="str">
        <x:v>光合成と呼吸</x:v>
      </x:c>
      <x:c r="E472" s="106" t="str">
        <x:v>実験</x:v>
      </x:c>
      <x:c r="F472" s="106" t="str">
        <x:v>A</x:v>
      </x:c>
      <x:c r="G472" s="106" t="str"/>
      <x:c r="H472" s="18" t="str">
        <x:v>BTB溶液で光合成を調べる</x:v>
      </x:c>
      <x:c r="I472" s="18" t="str">
        <x:v>BTB溶液は二酸化（さんか）炭素が多く酸性寄りだと黄色、中性付近で緑、少ないと青になる。水草を明所に置いて青方向なら光合成で二酸化炭素が減ったと判断する。色は酸素量を直接示さない。つながり：BTB溶液／二酸化炭素／水草／光合成</x:v>
      </x:c>
      <x:c r="J472" s="18" t="str">
        <x:v>BTB溶液／二酸化炭素／水草／光合成</x:v>
      </x:c>
    </x:row>
    <x:row r="473" ht="62" customHeight="1">
      <x:c r="A473" s="106" t="str">
        <x:v>BIO-088</x:v>
      </x:c>
      <x:c r="B473" s="106" t="str">
        <x:v>生物</x:v>
      </x:c>
      <x:c r="C473" s="106" t="str">
        <x:v>中2</x:v>
      </x:c>
      <x:c r="D473" s="106" t="str">
        <x:v>光合成と呼吸</x:v>
      </x:c>
      <x:c r="E473" s="106" t="str">
        <x:v>実験</x:v>
      </x:c>
      <x:c r="F473" s="106" t="str">
        <x:v>A</x:v>
      </x:c>
      <x:c r="G473" s="106" t="str"/>
      <x:c r="H473" s="18" t="str">
        <x:v>水草の気泡実験の注意</x:v>
      </x:c>
      <x:c r="I473" s="18" t="str">
        <x:v>明所の水草から出る気泡は主に光合成で生じた酸素。光の強さ・温度・二酸化（さんか）炭素濃度などを一つだけ変え、一定時間の気泡数や集めた気体量を比べる。気泡の大きさが違う点にも注意する。つながり：酸素／光の強さ／対照実験（たいしょうじっけん）／二酸化炭素</x:v>
      </x:c>
      <x:c r="J473" s="18" t="str">
        <x:v>酸素／光の強さ／対照実験たいしょうじっけん&lt;／rt&gt;&lt;／ruby&gt;／二酸化炭素</x:v>
      </x:c>
    </x:row>
    <x:row r="474" ht="62" customHeight="1">
      <x:c r="A474" s="106" t="str">
        <x:v>BIO-089</x:v>
      </x:c>
      <x:c r="B474" s="106" t="str">
        <x:v>生物</x:v>
      </x:c>
      <x:c r="C474" s="106" t="str">
        <x:v>中2</x:v>
      </x:c>
      <x:c r="D474" s="106" t="str">
        <x:v>光合成と呼吸</x:v>
      </x:c>
      <x:c r="E474" s="106" t="str">
        <x:v>実験</x:v>
      </x:c>
      <x:c r="F474" s="106" t="str">
        <x:v>B</x:v>
      </x:c>
      <x:c r="G474" s="106" t="str"/>
      <x:c r="H474" s="18" t="str">
        <x:v>石灰水と二酸化（さんか）炭素</x:v>
      </x:c>
      <x:c r="I474" s="18" t="str">
        <x:v>石灰水に二酸化（さんか）炭素を通すと炭酸カルシウムが生じて白く濁る。発芽種子や動物の呼吸で二酸化炭素が出ることを確かめられる。長時間過剰に通すと濁りが消えることがある。つながり：石灰水／呼吸／二酸化炭素／炭酸カルシウム</x:v>
      </x:c>
      <x:c r="J474" s="18" t="str">
        <x:v>石灰水／呼吸／二酸化炭素／炭酸カルシウム</x:v>
      </x:c>
    </x:row>
    <x:row r="475" ht="62" customHeight="1">
      <x:c r="A475" s="106" t="str">
        <x:v>BIO-090</x:v>
      </x:c>
      <x:c r="B475" s="106" t="str">
        <x:v>生物</x:v>
      </x:c>
      <x:c r="C475" s="106" t="str">
        <x:v>中2</x:v>
      </x:c>
      <x:c r="D475" s="106" t="str">
        <x:v>蒸散</x:v>
      </x:c>
      <x:c r="E475" s="106" t="str">
        <x:v>実験</x:v>
      </x:c>
      <x:c r="F475" s="106" t="str">
        <x:v>A</x:v>
      </x:c>
      <x:c r="G475" s="106" t="n">
        <x:v>95</x:v>
      </x:c>
      <x:c r="H475" s="18" t="str">
        <x:v>蒸散（じょうさん）量を比べるワセリン実験</x:v>
      </x:c>
      <x:c r="I475" s="18" t="str">
        <x:v>葉の表・裏にワセリンを塗って気孔（きこう）をふさぎ、水の減少量を比べる。『葉なし』の減少量を茎などからの蒸発分として差し引く。多くの陸上植物では裏面の気孔が多く、裏をふさぐ影響が大きい。つながり：気孔／ワセリン／対照実験（たいしょうじっけん）／水の減少量</x:v>
      </x:c>
      <x:c r="J475" s="18" t="str">
        <x:v>気孔／ワセリン／対照実験たいしょうじっけん&lt;／rt&gt;&lt;／ruby&gt;／水の減少量</x:v>
      </x:c>
    </x:row>
    <x:row r="476" ht="62" customHeight="1">
      <x:c r="A476" s="106" t="str">
        <x:v>BIO-091</x:v>
      </x:c>
      <x:c r="B476" s="106" t="str">
        <x:v>生物</x:v>
      </x:c>
      <x:c r="C476" s="106" t="str">
        <x:v>中2</x:v>
      </x:c>
      <x:c r="D476" s="106" t="str">
        <x:v>蒸散</x:v>
      </x:c>
      <x:c r="E476" s="106" t="str">
        <x:v>計算</x:v>
      </x:c>
      <x:c r="F476" s="106" t="str">
        <x:v>A</x:v>
      </x:c>
      <x:c r="G476" s="106" t="str"/>
      <x:c r="H476" s="18" t="str">
        <x:v>葉の表裏からの蒸散（じょうさん）量の計算</x:v>
      </x:c>
      <x:c r="I476" s="18" t="str">
        <x:v>同じ葉面積・時間で水面からの蒸発を防ぎ、茎などからの基準損失をS、葉の表をA、裏をBとする。無処理はS+A+B、表を封鎖するとS+B、裏を封鎖するとS+A、両面封鎖はほぼS。したがってA=無処理−表封鎖、B=無処理−裏封鎖として求める。つながり：蒸散（じょうさん）／ワセリン／差し引き／気孔（きこう）</x:v>
      </x:c>
      <x:c r="J476" s="18" t="str">
        <x:v>蒸散じょうさん&lt;／rt&gt;&lt;／ruby&gt;／ワセリン／差し引き／気孔きこう&lt;／rt&gt;&lt;／ruby&gt;</x:v>
      </x:c>
    </x:row>
    <x:row r="477" ht="62" customHeight="1">
      <x:c r="A477" s="106" t="str">
        <x:v>BIO-092</x:v>
      </x:c>
      <x:c r="B477" s="106" t="str">
        <x:v>生物</x:v>
      </x:c>
      <x:c r="C477" s="106" t="str">
        <x:v>中2</x:v>
      </x:c>
      <x:c r="D477" s="106" t="str">
        <x:v>植物の物質移動</x:v>
      </x:c>
      <x:c r="E477" s="106" t="str">
        <x:v>実験</x:v>
      </x:c>
      <x:c r="F477" s="106" t="str">
        <x:v>A</x:v>
      </x:c>
      <x:c r="G477" s="106" t="str"/>
      <x:c r="H477" s="18" t="str">
        <x:v>赤い水を吸わせる実験</x:v>
      </x:c>
      <x:c r="I477" s="18" t="str">
        <x:v>ホウセンカなどに色水を吸わせて断面を見ると、根・茎・葉の道管（どうかん）が染まる。水の通り道が道管である証拠。師管（しかん）が染まる実験ではない。つながり：道管／維管束（いかんそく）／吸水／蒸散（じょうさん）</x:v>
      </x:c>
      <x:c r="J477" s="18" t="str">
        <x:v>道管／維管束いかんそく&lt;／rt&gt;&lt;／ruby&gt;／吸水／蒸散じょうさん&lt;／rt&gt;&lt;／ruby&gt;</x:v>
      </x:c>
    </x:row>
    <x:row r="478" ht="62" customHeight="1">
      <x:c r="A478" s="106" t="str">
        <x:v>BIO-093</x:v>
      </x:c>
      <x:c r="B478" s="106" t="str">
        <x:v>生物</x:v>
      </x:c>
      <x:c r="C478" s="106" t="str">
        <x:v>中2</x:v>
      </x:c>
      <x:c r="D478" s="106" t="str">
        <x:v>植物の物質移動</x:v>
      </x:c>
      <x:c r="E478" s="106" t="str">
        <x:v>因果</x:v>
      </x:c>
      <x:c r="F478" s="106" t="str">
        <x:v>B</x:v>
      </x:c>
      <x:c r="G478" s="106" t="str"/>
      <x:c r="H478" s="18" t="str">
        <x:v>蒸散（じょうさん）で水が上がる仕組み</x:v>
      </x:c>
      <x:c r="I478" s="18" t="str">
        <x:v>葉から水が失われると道管（どうかん）内の水が引かれ、連続した水柱を通じて根からの吸水が促される。根圧なども関わるが、背の高い植物では蒸散（じょうさん）による引き上げが重要。つながり：蒸散／道管／根毛／水柱</x:v>
      </x:c>
      <x:c r="J478" s="18" t="str">
        <x:v>蒸散／道管／根毛／水柱</x:v>
      </x:c>
    </x:row>
    <x:row r="479" ht="62" customHeight="1">
      <x:c r="A479" s="106" t="str">
        <x:v>BIO-094</x:v>
      </x:c>
      <x:c r="B479" s="106" t="str">
        <x:v>生物</x:v>
      </x:c>
      <x:c r="C479" s="106" t="str">
        <x:v>中2</x:v>
      </x:c>
      <x:c r="D479" s="106" t="str">
        <x:v>植物の反応</x:v>
      </x:c>
      <x:c r="E479" s="106" t="str">
        <x:v>用語</x:v>
      </x:c>
      <x:c r="F479" s="106" t="str">
        <x:v>C</x:v>
      </x:c>
      <x:c r="G479" s="106" t="str"/>
      <x:c r="H479" s="18" t="str">
        <x:v>植物の屈性（くっせい）</x:v>
      </x:c>
      <x:c r="I479" s="18" t="str">
        <x:v>刺激の方向に関係して成長方向が変わる反応。茎は光の方向へ曲がる正の光屈性、根は重力方向へ伸びる正の重力屈性を示す。動物の素早い運動とは異なり、主に成長差で起こる。つながり：光屈性／重力屈性／成長／刺激</x:v>
      </x:c>
      <x:c r="J479" s="18" t="str">
        <x:v>光屈性／重力屈性／成長／刺激</x:v>
      </x:c>
    </x:row>
    <x:row r="480" ht="62" customHeight="1">
      <x:c r="A480" s="106" t="str">
        <x:v>BIO-095</x:v>
      </x:c>
      <x:c r="B480" s="106" t="str">
        <x:v>生物</x:v>
      </x:c>
      <x:c r="C480" s="106" t="str">
        <x:v>中2</x:v>
      </x:c>
      <x:c r="D480" s="106" t="str">
        <x:v>体の階層</x:v>
      </x:c>
      <x:c r="E480" s="106" t="str">
        <x:v>用語</x:v>
      </x:c>
      <x:c r="F480" s="106" t="str">
        <x:v>A</x:v>
      </x:c>
      <x:c r="G480" s="106" t="str"/>
      <x:c r="H480" s="18" t="str">
        <x:v>細胞・組織・器官・器官系</x:v>
      </x:c>
      <x:c r="I480" s="18" t="str">
        <x:v>同じ形やはたらきの細胞が集まって組織、複数の組織が組み合わさって器官、関連する器官が器官系をつくる。例は筋細胞→筋組織→胃→消化器系。階層の大小を逆にしない。つながり：細胞／組織／器官／器官系</x:v>
      </x:c>
      <x:c r="J480" s="18" t="str">
        <x:v>細胞／組織／器官／器官系</x:v>
      </x:c>
    </x:row>
    <x:row r="481" ht="62" customHeight="1">
      <x:c r="A481" s="106" t="str">
        <x:v>BIO-096</x:v>
      </x:c>
      <x:c r="B481" s="106" t="str">
        <x:v>生物</x:v>
      </x:c>
      <x:c r="C481" s="106" t="str">
        <x:v>中2</x:v>
      </x:c>
      <x:c r="D481" s="106" t="str">
        <x:v>消化と吸収</x:v>
      </x:c>
      <x:c r="E481" s="106" t="str">
        <x:v>用語</x:v>
      </x:c>
      <x:c r="F481" s="106" t="str">
        <x:v>A</x:v>
      </x:c>
      <x:c r="G481" s="106" t="n">
        <x:v>96</x:v>
      </x:c>
      <x:c r="H481" s="18" t="str">
        <x:v>三大栄養素</x:v>
      </x:c>
      <x:c r="I481" s="18" t="str">
        <x:v>炭水化物・タンパク質・脂肪。消化後、炭水化物は主にブドウ糖、タンパク質はアミノ酸、脂肪は脂肪酸とモノグリセリドなどとして吸収される。ビタミン・無機物・水は基本的に消化せず吸収できる。つながり：ブドウ糖／アミノ酸／脂肪酸／消化</x:v>
      </x:c>
      <x:c r="J481" s="18" t="str">
        <x:v>ブドウ糖／アミノ酸／脂肪酸／消化</x:v>
      </x:c>
    </x:row>
    <x:row r="482" ht="62" customHeight="1">
      <x:c r="A482" s="106" t="str">
        <x:v>BIO-097</x:v>
      </x:c>
      <x:c r="B482" s="106" t="str">
        <x:v>生物</x:v>
      </x:c>
      <x:c r="C482" s="106" t="str">
        <x:v>中2</x:v>
      </x:c>
      <x:c r="D482" s="106" t="str">
        <x:v>消化と吸収</x:v>
      </x:c>
      <x:c r="E482" s="106" t="str">
        <x:v>用語</x:v>
      </x:c>
      <x:c r="F482" s="106" t="str">
        <x:v>A</x:v>
      </x:c>
      <x:c r="G482" s="106" t="str"/>
      <x:c r="H482" s="18" t="str">
        <x:v>消化管の順序</x:v>
      </x:c>
      <x:c r="I482" s="18" t="str">
        <x:v>口→食道→胃→小腸→大腸→肛門と続く一本の管。肝臓・膵臓（すいぞう）・だ液腺は消化液をつくるが、食物がその内部を通る消化管ではない。つながり：口／胃／小腸／大腸</x:v>
      </x:c>
      <x:c r="J482" s="18" t="str">
        <x:v>口／胃／小腸／大腸</x:v>
      </x:c>
    </x:row>
    <x:row r="483" ht="62" customHeight="1">
      <x:c r="A483" s="106" t="str">
        <x:v>BIO-098</x:v>
      </x:c>
      <x:c r="B483" s="106" t="str">
        <x:v>生物</x:v>
      </x:c>
      <x:c r="C483" s="106" t="str">
        <x:v>中2</x:v>
      </x:c>
      <x:c r="D483" s="106" t="str">
        <x:v>消化と吸収</x:v>
      </x:c>
      <x:c r="E483" s="106" t="str">
        <x:v>用語</x:v>
      </x:c>
      <x:c r="F483" s="106" t="str">
        <x:v>A</x:v>
      </x:c>
      <x:c r="G483" s="106" t="n">
        <x:v>97</x:v>
      </x:c>
      <x:c r="H483" s="18" t="str">
        <x:v>消化酵素（しょうかこうそ）</x:v>
      </x:c>
      <x:c r="I483" s="18" t="str">
        <x:v>消化液に含まれ、特定の栄養素を体温程度の温度で分解する物質。自身は反応の前後でほとんど変化せず、少量ではたらく。酵素ごとにはたらく相手が決まっている。つながり：アミラーゼ／ペプシン／リパーゼ／消化液</x:v>
      </x:c>
      <x:c r="J483" s="18" t="str">
        <x:v>アミラーゼ／ペプシン／リパーゼ／消化液</x:v>
      </x:c>
    </x:row>
    <x:row r="484" ht="62" customHeight="1">
      <x:c r="A484" s="106" t="str">
        <x:v>BIO-099</x:v>
      </x:c>
      <x:c r="B484" s="106" t="str">
        <x:v>生物</x:v>
      </x:c>
      <x:c r="C484" s="106" t="str">
        <x:v>中2</x:v>
      </x:c>
      <x:c r="D484" s="106" t="str">
        <x:v>消化と吸収</x:v>
      </x:c>
      <x:c r="E484" s="106" t="str">
        <x:v>用語</x:v>
      </x:c>
      <x:c r="F484" s="106" t="str">
        <x:v>A</x:v>
      </x:c>
      <x:c r="G484" s="106" t="str"/>
      <x:c r="H484" s="18" t="str">
        <x:v>だ液のはたらき</x:v>
      </x:c>
      <x:c r="I484" s="18" t="str">
        <x:v>だ液中のアミラーゼがデンプンを麦芽糖などへ分解する。デンプンの消失はヨウ素液、糖の生成はベネジクト液を加え、試験管の口を人へ向けず熱湯浴で加熱して赤褐色の沈殿（ちんでん）ができるかで調べる。つながり：アミラーゼ／デンプン／ヨウ素液／ベネジクト液</x:v>
      </x:c>
      <x:c r="J484" s="18" t="str">
        <x:v>アミラーゼ／デンプン／ヨウ素液／ベネジクト液</x:v>
      </x:c>
    </x:row>
    <x:row r="485" ht="62" customHeight="1">
      <x:c r="A485" s="106" t="str">
        <x:v>BIO-100</x:v>
      </x:c>
      <x:c r="B485" s="106" t="str">
        <x:v>生物</x:v>
      </x:c>
      <x:c r="C485" s="106" t="str">
        <x:v>中2</x:v>
      </x:c>
      <x:c r="D485" s="106" t="str">
        <x:v>消化と吸収</x:v>
      </x:c>
      <x:c r="E485" s="106" t="str">
        <x:v>実験</x:v>
      </x:c>
      <x:c r="F485" s="106" t="str">
        <x:v>A</x:v>
      </x:c>
      <x:c r="G485" s="106" t="n">
        <x:v>98</x:v>
      </x:c>
      <x:c r="H485" s="18" t="str">
        <x:v>だ液の実験で温度をそろえる理由</x:v>
      </x:c>
      <x:c r="I485" s="18" t="str">
        <x:v>酵素のはたらきは温度に左右されるため、だ液あり・なし以外を同じ条件にする。体温に近い約40℃の湯で一定時間保ち、水だけの試験管を対照にする。沸騰させると酵素が変性する。つながり：対照実験（たいしょうじっけん）／アミラーゼ／温度／変性</x:v>
      </x:c>
      <x:c r="J485" s="18" t="str">
        <x:v>対照実験たいしょうじっけん&lt;／rt&gt;&lt;／ruby&gt;／アミラーゼ／温度／変性</x:v>
      </x:c>
    </x:row>
    <x:row r="486" ht="62" customHeight="1">
      <x:c r="A486" s="106" t="str">
        <x:v>BIO-101</x:v>
      </x:c>
      <x:c r="B486" s="106" t="str">
        <x:v>生物</x:v>
      </x:c>
      <x:c r="C486" s="106" t="str">
        <x:v>中2</x:v>
      </x:c>
      <x:c r="D486" s="106" t="str">
        <x:v>消化と吸収</x:v>
      </x:c>
      <x:c r="E486" s="106" t="str">
        <x:v>用語</x:v>
      </x:c>
      <x:c r="F486" s="106" t="str">
        <x:v>B</x:v>
      </x:c>
      <x:c r="G486" s="106" t="str"/>
      <x:c r="H486" s="18" t="str">
        <x:v>胃液のはたらき</x:v>
      </x:c>
      <x:c r="I486" s="18" t="str">
        <x:v>胃液には塩酸とペプシンが含まれ、強い酸性の環境でタンパク質の消化を進める。胃壁は粘液で守られる。胃で全栄養素の消化が完了するわけではない。つながり：ペプシン／タンパク質／塩酸／胃</x:v>
      </x:c>
      <x:c r="J486" s="18" t="str">
        <x:v>ペプシン／タンパク質／塩酸／胃</x:v>
      </x:c>
    </x:row>
    <x:row r="487" ht="62" customHeight="1">
      <x:c r="A487" s="106" t="str">
        <x:v>BIO-102</x:v>
      </x:c>
      <x:c r="B487" s="106" t="str">
        <x:v>生物</x:v>
      </x:c>
      <x:c r="C487" s="106" t="str">
        <x:v>中2</x:v>
      </x:c>
      <x:c r="D487" s="106" t="str">
        <x:v>消化と吸収</x:v>
      </x:c>
      <x:c r="E487" s="106" t="str">
        <x:v>誤解対策</x:v>
      </x:c>
      <x:c r="F487" s="106" t="str">
        <x:v>A</x:v>
      </x:c>
      <x:c r="G487" s="106" t="str"/>
      <x:c r="H487" s="18" t="str">
        <x:v>胆汁（たんじゅう）のはたらき</x:v>
      </x:c>
      <x:c r="I487" s="18" t="str">
        <x:v>肝臓でつくられ胆のうに蓄えられ、小腸へ出る。脂肪を細かい粒にして水と混ざりやすくし、リパーゼの作用を助けるが、胆汁自体には消化酵素（しょうかこうそ）を含まない。つながり：肝臓／胆のう／脂肪／リパーゼ</x:v>
      </x:c>
      <x:c r="J487" s="18" t="str">
        <x:v>肝臓／胆のう／脂肪／リパーゼ</x:v>
      </x:c>
    </x:row>
    <x:row r="488" ht="62" customHeight="1">
      <x:c r="A488" s="106" t="str">
        <x:v>BIO-103</x:v>
      </x:c>
      <x:c r="B488" s="106" t="str">
        <x:v>生物</x:v>
      </x:c>
      <x:c r="C488" s="106" t="str">
        <x:v>中2</x:v>
      </x:c>
      <x:c r="D488" s="106" t="str">
        <x:v>消化と吸収</x:v>
      </x:c>
      <x:c r="E488" s="106" t="str">
        <x:v>用語</x:v>
      </x:c>
      <x:c r="F488" s="106" t="str">
        <x:v>A</x:v>
      </x:c>
      <x:c r="G488" s="106" t="str"/>
      <x:c r="H488" s="18" t="str">
        <x:v>膵液（すいえき）のはたらき</x:v>
      </x:c>
      <x:c r="I488" s="18" t="str">
        <x:v>膵臓でつくられ小腸へ出る。炭水化物・タンパク質・脂肪を分解する複数の消化酵素（しょうかこうそ）を含む。1種類の酵素がすべてを分解するわけではない。つながり：膵臓／アミラーゼ／トリプシン／リパーゼ</x:v>
      </x:c>
      <x:c r="J488" s="18" t="str">
        <x:v>膵臓／アミラーゼ／トリプシン／リパーゼ</x:v>
      </x:c>
    </x:row>
    <x:row r="489" ht="62" customHeight="1">
      <x:c r="A489" s="106" t="str">
        <x:v>BIO-104</x:v>
      </x:c>
      <x:c r="B489" s="106" t="str">
        <x:v>生物</x:v>
      </x:c>
      <x:c r="C489" s="106" t="str">
        <x:v>中2</x:v>
      </x:c>
      <x:c r="D489" s="106" t="str">
        <x:v>消化と吸収</x:v>
      </x:c>
      <x:c r="E489" s="106" t="str">
        <x:v>用語</x:v>
      </x:c>
      <x:c r="F489" s="106" t="str">
        <x:v>A</x:v>
      </x:c>
      <x:c r="G489" s="106" t="str"/>
      <x:c r="H489" s="18" t="str">
        <x:v>小腸での消化と吸収</x:v>
      </x:c>
      <x:c r="I489" s="18" t="str">
        <x:v>すい液・胆汁・腸液などで消化が仕上がり、絨毛から養分が吸収される。ブドウ糖とアミノ酸は主に毛細血管へ、脂肪の分解産物は吸収後に再合成され主にリンパ管へ入る。つながり：絨毛／毛細血管／リンパ管／吸収</x:v>
      </x:c>
      <x:c r="J489" s="18" t="str">
        <x:v>絨毛／毛細血管／リンパ管／吸収</x:v>
      </x:c>
    </x:row>
    <x:row r="490" ht="62" customHeight="1">
      <x:c r="A490" s="106" t="str">
        <x:v>BIO-105</x:v>
      </x:c>
      <x:c r="B490" s="106" t="str">
        <x:v>生物</x:v>
      </x:c>
      <x:c r="C490" s="106" t="str">
        <x:v>中2</x:v>
      </x:c>
      <x:c r="D490" s="106" t="str">
        <x:v>消化と吸収</x:v>
      </x:c>
      <x:c r="E490" s="106" t="str">
        <x:v>用語</x:v>
      </x:c>
      <x:c r="F490" s="106" t="str">
        <x:v>A</x:v>
      </x:c>
      <x:c r="G490" s="106" t="str"/>
      <x:c r="H490" s="18" t="str">
        <x:v>絨毛（じゅうもう）</x:v>
      </x:c>
      <x:c r="I490" s="18" t="str">
        <x:v>小腸内壁に多数ある突起。表面積を非常に大きくし、内部の毛細血管やリンパ管へ効率よく養分を吸収する。『消化する突起』ではなく、主な役割は吸収である。つながり：小腸／表面積／毛細血管／リンパ管</x:v>
      </x:c>
      <x:c r="J490" s="18" t="str">
        <x:v>小腸／表面積／毛細血管／リンパ管</x:v>
      </x:c>
    </x:row>
    <x:row r="491" ht="62" customHeight="1">
      <x:c r="A491" s="106" t="str">
        <x:v>BIO-106</x:v>
      </x:c>
      <x:c r="B491" s="106" t="str">
        <x:v>生物</x:v>
      </x:c>
      <x:c r="C491" s="106" t="str">
        <x:v>中2</x:v>
      </x:c>
      <x:c r="D491" s="106" t="str">
        <x:v>消化と吸収</x:v>
      </x:c>
      <x:c r="E491" s="106" t="str">
        <x:v>比較</x:v>
      </x:c>
      <x:c r="F491" s="106" t="str">
        <x:v>B</x:v>
      </x:c>
      <x:c r="G491" s="106" t="str"/>
      <x:c r="H491" s="18" t="str">
        <x:v>大腸の主なはたらき</x:v>
      </x:c>
      <x:c r="I491" s="18" t="str">
        <x:v>消化されなかった内容物から水や一部の無機物を吸収し、便を形成する。養分吸収の中心は小腸であり、大腸ではない。腸内細菌も生息する。つながり：水分吸収／小腸／便／腸内細菌</x:v>
      </x:c>
      <x:c r="J491" s="18" t="str">
        <x:v>水分吸収／小腸／便／腸内細菌</x:v>
      </x:c>
    </x:row>
    <x:row r="492" ht="62" customHeight="1">
      <x:c r="A492" s="106" t="str">
        <x:v>BIO-107</x:v>
      </x:c>
      <x:c r="B492" s="106" t="str">
        <x:v>生物</x:v>
      </x:c>
      <x:c r="C492" s="106" t="str">
        <x:v>中2</x:v>
      </x:c>
      <x:c r="D492" s="106" t="str">
        <x:v>消化と吸収</x:v>
      </x:c>
      <x:c r="E492" s="106" t="str">
        <x:v>用語</x:v>
      </x:c>
      <x:c r="F492" s="106" t="str">
        <x:v>A</x:v>
      </x:c>
      <x:c r="G492" s="106" t="str"/>
      <x:c r="H492" s="18" t="str">
        <x:v>肝臓の主なはたらき</x:v>
      </x:c>
      <x:c r="I492" s="18" t="str">
        <x:v>胆汁をつくる、吸収したブドウ糖をグリコーゲンとして蓄える、有害物質を分解する、アンモニアを尿素（にょうそ）に変えるなど。消化液が直接通る消化管ではない。つながり：胆汁／グリコーゲン／尿素／解毒</x:v>
      </x:c>
      <x:c r="J492" s="18" t="str">
        <x:v>胆汁／グリコーゲン／尿素／解毒</x:v>
      </x:c>
    </x:row>
    <x:row r="493" ht="62" customHeight="1">
      <x:c r="A493" s="106" t="str">
        <x:v>BIO-108</x:v>
      </x:c>
      <x:c r="B493" s="106" t="str">
        <x:v>生物</x:v>
      </x:c>
      <x:c r="C493" s="106" t="str">
        <x:v>中2</x:v>
      </x:c>
      <x:c r="D493" s="106" t="str">
        <x:v>呼吸</x:v>
      </x:c>
      <x:c r="E493" s="106" t="str">
        <x:v>用語</x:v>
      </x:c>
      <x:c r="F493" s="106" t="str">
        <x:v>A</x:v>
      </x:c>
      <x:c r="G493" s="106" t="str"/>
      <x:c r="H493" s="18" t="str">
        <x:v>肺胞（はいほう）</x:v>
      </x:c>
      <x:c r="I493" s="18" t="str">
        <x:v>肺の中に多数ある小さな袋。壁が薄く周囲を毛細血管が囲み、総表面積が大きいため、酸素と二酸化（さんか）炭素を効率よく拡散で交換できる。つながり：肺／毛細血管／気体交換／拡散</x:v>
      </x:c>
      <x:c r="J493" s="18" t="str">
        <x:v>肺／毛細血管／気体交換／拡散</x:v>
      </x:c>
    </x:row>
    <x:row r="494" ht="62" customHeight="1">
      <x:c r="A494" s="106" t="str">
        <x:v>BIO-109</x:v>
      </x:c>
      <x:c r="B494" s="106" t="str">
        <x:v>生物</x:v>
      </x:c>
      <x:c r="C494" s="106" t="str">
        <x:v>中2</x:v>
      </x:c>
      <x:c r="D494" s="106" t="str">
        <x:v>呼吸</x:v>
      </x:c>
      <x:c r="E494" s="106" t="str">
        <x:v>因果</x:v>
      </x:c>
      <x:c r="F494" s="106" t="str">
        <x:v>A</x:v>
      </x:c>
      <x:c r="G494" s="106" t="n">
        <x:v>107</x:v>
      </x:c>
      <x:c r="H494" s="18" t="str">
        <x:v>肺での気体交換</x:v>
      </x:c>
      <x:c r="I494" s="18" t="str">
        <x:v>肺胞（はいほう）内の酸素が血液へ、血液中の二酸化（さんか）炭素が肺胞へ、濃度差に従って移動する。酸素は主に赤血球のヘモグロビンと結びついて運ばれる。つながり：肺胞／酸素／二酸化炭素／ヘモグロビン</x:v>
      </x:c>
      <x:c r="J494" s="18" t="str">
        <x:v>肺胞／酸素／二酸化炭素／ヘモグロビン</x:v>
      </x:c>
    </x:row>
    <x:row r="495" ht="62" customHeight="1">
      <x:c r="A495" s="106" t="str">
        <x:v>BIO-110</x:v>
      </x:c>
      <x:c r="B495" s="106" t="str">
        <x:v>生物</x:v>
      </x:c>
      <x:c r="C495" s="106" t="str">
        <x:v>中2</x:v>
      </x:c>
      <x:c r="D495" s="106" t="str">
        <x:v>呼吸</x:v>
      </x:c>
      <x:c r="E495" s="106" t="str">
        <x:v>因果</x:v>
      </x:c>
      <x:c r="F495" s="106" t="str">
        <x:v>B</x:v>
      </x:c>
      <x:c r="G495" s="106" t="str"/>
      <x:c r="H495" s="18" t="str">
        <x:v>横隔膜（おうかくまく）と呼吸運動</x:v>
      </x:c>
      <x:c r="I495" s="18" t="str">
        <x:v>息を吸うと横隔膜（おうかくまく）が縮んで下がり、肋骨が上がって胸腔（きょうくう）が広がり、肺がふくらむ。吐くと逆。肺自体に空気を吸い込む筋肉があるわけではない。つながり：横隔膜／胸腔／肺／肋骨</x:v>
      </x:c>
      <x:c r="J495" s="18" t="str">
        <x:v>横隔膜／胸腔／肺／肋骨</x:v>
      </x:c>
    </x:row>
    <x:row r="496" ht="62" customHeight="1">
      <x:c r="A496" s="106" t="str">
        <x:v>BIO-111</x:v>
      </x:c>
      <x:c r="B496" s="106" t="str">
        <x:v>生物</x:v>
      </x:c>
      <x:c r="C496" s="106" t="str">
        <x:v>中2</x:v>
      </x:c>
      <x:c r="D496" s="106" t="str">
        <x:v>呼吸</x:v>
      </x:c>
      <x:c r="E496" s="106" t="str">
        <x:v>用語</x:v>
      </x:c>
      <x:c r="F496" s="106" t="str">
        <x:v>A</x:v>
      </x:c>
      <x:c r="G496" s="106" t="str"/>
      <x:c r="H496" s="18" t="str">
        <x:v>細胞呼吸</x:v>
      </x:c>
      <x:c r="I496" s="18" t="str">
        <x:v>細胞が酸素を使って有機物を分解し、生命活動に使えるエネルギーを取り出す反応。二酸化（さんか）炭素と水が生じる。肺で空気を出し入れする呼吸運動とは区別する。つながり：酸素／有機物／エネルギー／二酸化炭素</x:v>
      </x:c>
      <x:c r="J496" s="18" t="str">
        <x:v>酸素／有機物／エネルギー／二酸化炭素</x:v>
      </x:c>
    </x:row>
    <x:row r="497" ht="62" customHeight="1">
      <x:c r="A497" s="106" t="str">
        <x:v>BIO-112</x:v>
      </x:c>
      <x:c r="B497" s="106" t="str">
        <x:v>生物</x:v>
      </x:c>
      <x:c r="C497" s="106" t="str">
        <x:v>中2</x:v>
      </x:c>
      <x:c r="D497" s="106" t="str">
        <x:v>血液循環</x:v>
      </x:c>
      <x:c r="E497" s="106" t="str">
        <x:v>読図</x:v>
      </x:c>
      <x:c r="F497" s="106" t="str">
        <x:v>A</x:v>
      </x:c>
      <x:c r="G497" s="106" t="str"/>
      <x:c r="H497" s="18" t="str">
        <x:v>心臓の4つの部屋</x:v>
      </x:c>
      <x:c r="I497" s="18" t="str">
        <x:v>右心房・右心室・左心房・左心室。心房は静脈から血液を受け、心室は動脈へ送り出す。全身へ高い圧力で送る左心室の壁が最も厚い。つながり：右心房／右心室／左心房／左心室</x:v>
      </x:c>
      <x:c r="J497" s="18" t="str">
        <x:v>右心房／右心室／左心房／左心室</x:v>
      </x:c>
    </x:row>
    <x:row r="498" ht="62" customHeight="1">
      <x:c r="A498" s="106" t="str">
        <x:v>BIO-113</x:v>
      </x:c>
      <x:c r="B498" s="106" t="str">
        <x:v>生物</x:v>
      </x:c>
      <x:c r="C498" s="106" t="str">
        <x:v>中2</x:v>
      </x:c>
      <x:c r="D498" s="106" t="str">
        <x:v>血液循環</x:v>
      </x:c>
      <x:c r="E498" s="106" t="str">
        <x:v>読図</x:v>
      </x:c>
      <x:c r="F498" s="106" t="str">
        <x:v>A</x:v>
      </x:c>
      <x:c r="G498" s="106" t="n">
        <x:v>108</x:v>
      </x:c>
      <x:c r="H498" s="18" t="str">
        <x:v>心臓を通る血液の順序</x:v>
      </x:c>
      <x:c r="I498" s="18" t="str">
        <x:v>全身→大静脈→右心房→右心室→肺動脈→肺→肺静脈→左心房→左心室→大動脈→全身。心臓の図は左右が観察者と逆に描かれることが多い。つながり：大静脈／肺動脈／肺静脈／大動脈</x:v>
      </x:c>
      <x:c r="J498" s="18" t="str">
        <x:v>大静脈／肺動脈／肺静脈／大動脈</x:v>
      </x:c>
    </x:row>
    <x:row r="499" ht="62" customHeight="1">
      <x:c r="A499" s="106" t="str">
        <x:v>BIO-114</x:v>
      </x:c>
      <x:c r="B499" s="106" t="str">
        <x:v>生物</x:v>
      </x:c>
      <x:c r="C499" s="106" t="str">
        <x:v>中2</x:v>
      </x:c>
      <x:c r="D499" s="106" t="str">
        <x:v>血液循環</x:v>
      </x:c>
      <x:c r="E499" s="106" t="str">
        <x:v>比較</x:v>
      </x:c>
      <x:c r="F499" s="106" t="str">
        <x:v>A</x:v>
      </x:c>
      <x:c r="G499" s="106" t="n">
        <x:v>109</x:v>
      </x:c>
      <x:c r="H499" s="18" t="str">
        <x:v>体循環と肺循環</x:v>
      </x:c>
      <x:c r="I499" s="18" t="str">
        <x:v>体循環は左心室→大動脈→全身→大静脈→右心房。肺循環は右心室→肺動脈→肺→肺静脈→左心房。1回の全身循環で心臓を2回通る。つながり：体循環／肺循環／左心室／右心室</x:v>
      </x:c>
      <x:c r="J499" s="18" t="str">
        <x:v>体循環／肺循環／左心室／右心室</x:v>
      </x:c>
    </x:row>
    <x:row r="500" ht="62" customHeight="1">
      <x:c r="A500" s="106" t="str">
        <x:v>BIO-115</x:v>
      </x:c>
      <x:c r="B500" s="106" t="str">
        <x:v>生物</x:v>
      </x:c>
      <x:c r="C500" s="106" t="str">
        <x:v>中2</x:v>
      </x:c>
      <x:c r="D500" s="106" t="str">
        <x:v>血液循環</x:v>
      </x:c>
      <x:c r="E500" s="106" t="str">
        <x:v>比較</x:v>
      </x:c>
      <x:c r="F500" s="106" t="str">
        <x:v>A</x:v>
      </x:c>
      <x:c r="G500" s="106" t="str"/>
      <x:c r="H500" s="18" t="str">
        <x:v>動脈と静脈</x:v>
      </x:c>
      <x:c r="I500" s="18" t="str">
        <x:v>動脈は心臓から出る血管で壁が厚く弾力があり、静脈は心臓へ戻る血管で壁が比較的薄い。特に四肢の静脈には逆流を防ぐ弁が多いが、すべての静脈にあるわけではない。肺動脈は静脈血、肺静脈は動脈血を運ぶため、酸素量で命名しない。つながり：動脈／静脈／肺動脈／肺静脈</x:v>
      </x:c>
      <x:c r="J500" s="18" t="str">
        <x:v>動脈／静脈／肺動脈／肺静脈</x:v>
      </x:c>
    </x:row>
    <x:row r="501" ht="62" customHeight="1">
      <x:c r="A501" s="106" t="str">
        <x:v>BIO-116</x:v>
      </x:c>
      <x:c r="B501" s="106" t="str">
        <x:v>生物</x:v>
      </x:c>
      <x:c r="C501" s="106" t="str">
        <x:v>中2</x:v>
      </x:c>
      <x:c r="D501" s="106" t="str">
        <x:v>血液循環</x:v>
      </x:c>
      <x:c r="E501" s="106" t="str">
        <x:v>用語</x:v>
      </x:c>
      <x:c r="F501" s="106" t="str">
        <x:v>A</x:v>
      </x:c>
      <x:c r="G501" s="106" t="str"/>
      <x:c r="H501" s="18" t="str">
        <x:v>毛細血管</x:v>
      </x:c>
      <x:c r="I501" s="18" t="str">
        <x:v>動脈と静脈をつなぐ非常に細い血管。壁が薄く、血液と組織細胞の間で酸素・二酸化（さんか）炭素・養分・不要物などを交換する。つながり：動脈／静脈／組織液／物質交換</x:v>
      </x:c>
      <x:c r="J501" s="18" t="str">
        <x:v>動脈／静脈／組織液／物質交換</x:v>
      </x:c>
    </x:row>
    <x:row r="502" ht="62" customHeight="1">
      <x:c r="A502" s="106" t="str">
        <x:v>BIO-117</x:v>
      </x:c>
      <x:c r="B502" s="106" t="str">
        <x:v>生物</x:v>
      </x:c>
      <x:c r="C502" s="106" t="str">
        <x:v>中2</x:v>
      </x:c>
      <x:c r="D502" s="106" t="str">
        <x:v>血液</x:v>
      </x:c>
      <x:c r="E502" s="106" t="str">
        <x:v>用語</x:v>
      </x:c>
      <x:c r="F502" s="106" t="str">
        <x:v>A</x:v>
      </x:c>
      <x:c r="G502" s="106" t="str"/>
      <x:c r="H502" s="18" t="str">
        <x:v>赤血球とヘモグロビン</x:v>
      </x:c>
      <x:c r="I502" s="18" t="str">
        <x:v>赤血球はヘモグロビンを含み、主に酸素を運ぶ。ヘモグロビンは酸素の多い肺で結びつき、少ない組織で放す性質がある。成熟したヒトの赤血球には核がない。つながり：ヘモグロビン／酸素／肺胞（はいほう）／毛細血管</x:v>
      </x:c>
      <x:c r="J502" s="18" t="str">
        <x:v>ヘモグロビン／酸素／肺胞はいほう&lt;／rt&gt;&lt;／ruby&gt;／毛細血管</x:v>
      </x:c>
    </x:row>
    <x:row r="503" ht="62" customHeight="1">
      <x:c r="A503" s="106" t="str">
        <x:v>BIO-118</x:v>
      </x:c>
      <x:c r="B503" s="106" t="str">
        <x:v>生物</x:v>
      </x:c>
      <x:c r="C503" s="106" t="str">
        <x:v>中2</x:v>
      </x:c>
      <x:c r="D503" s="106" t="str">
        <x:v>血液</x:v>
      </x:c>
      <x:c r="E503" s="106" t="str">
        <x:v>用語</x:v>
      </x:c>
      <x:c r="F503" s="106" t="str">
        <x:v>B</x:v>
      </x:c>
      <x:c r="G503" s="106" t="str"/>
      <x:c r="H503" s="18" t="str">
        <x:v>白血球</x:v>
      </x:c>
      <x:c r="I503" s="18" t="str">
        <x:v>体内に侵入した細菌などを取り込んだり、免疫反応に関わったりして体を守る。核をもち、赤血球より数は少ない。酸素運搬（うんぱん）が主な役割ではない。つながり：免疫／病原体／抗体／血液</x:v>
      </x:c>
      <x:c r="J503" s="18" t="str">
        <x:v>免疫／病原体／抗体／血液</x:v>
      </x:c>
    </x:row>
    <x:row r="504" ht="62" customHeight="1">
      <x:c r="A504" s="106" t="str">
        <x:v>BIO-119</x:v>
      </x:c>
      <x:c r="B504" s="106" t="str">
        <x:v>生物</x:v>
      </x:c>
      <x:c r="C504" s="106" t="str">
        <x:v>中2</x:v>
      </x:c>
      <x:c r="D504" s="106" t="str">
        <x:v>血液</x:v>
      </x:c>
      <x:c r="E504" s="106" t="str">
        <x:v>用語</x:v>
      </x:c>
      <x:c r="F504" s="106" t="str">
        <x:v>B</x:v>
      </x:c>
      <x:c r="G504" s="106" t="str"/>
      <x:c r="H504" s="18" t="str">
        <x:v>血小板</x:v>
      </x:c>
      <x:c r="I504" s="18" t="str">
        <x:v>血管が傷ついたときに集まり、血液凝固（ぎょうこ）を進めて出血を止める。細胞の破片で、酸素運搬（うんぱん）や病原体の排除が主な役割ではない。つながり：血液凝固／出血／血管／血しょう</x:v>
      </x:c>
      <x:c r="J504" s="18" t="str">
        <x:v>血液凝固／出血／血管／血しょう</x:v>
      </x:c>
    </x:row>
    <x:row r="505" ht="62" customHeight="1">
      <x:c r="A505" s="106" t="str">
        <x:v>BIO-120</x:v>
      </x:c>
      <x:c r="B505" s="106" t="str">
        <x:v>生物</x:v>
      </x:c>
      <x:c r="C505" s="106" t="str">
        <x:v>中2</x:v>
      </x:c>
      <x:c r="D505" s="106" t="str">
        <x:v>血液</x:v>
      </x:c>
      <x:c r="E505" s="106" t="str">
        <x:v>用語</x:v>
      </x:c>
      <x:c r="F505" s="106" t="str">
        <x:v>A</x:v>
      </x:c>
      <x:c r="G505" s="106" t="str"/>
      <x:c r="H505" s="18" t="str">
        <x:v>血しょうと組織液</x:v>
      </x:c>
      <x:c r="I505" s="18" t="str">
        <x:v>血しょうは血液の液体成分で、養分・二酸化（さんか）炭素・不要物などを運ぶ。一部が毛細血管からしみ出して組織液となり、細胞との物質交換を仲立ちして多くは血管へ戻る。つながり：毛細血管／組織液／リンパ液／物質交換</x:v>
      </x:c>
      <x:c r="J505" s="18" t="str">
        <x:v>毛細血管／組織液／リンパ液／物質交換</x:v>
      </x:c>
    </x:row>
    <x:row r="506" ht="62" customHeight="1">
      <x:c r="A506" s="106" t="str">
        <x:v>BIO-121</x:v>
      </x:c>
      <x:c r="B506" s="106" t="str">
        <x:v>生物</x:v>
      </x:c>
      <x:c r="C506" s="106" t="str">
        <x:v>中2</x:v>
      </x:c>
      <x:c r="D506" s="106" t="str">
        <x:v>排出</x:v>
      </x:c>
      <x:c r="E506" s="106" t="str">
        <x:v>比較</x:v>
      </x:c>
      <x:c r="F506" s="106" t="str">
        <x:v>B</x:v>
      </x:c>
      <x:c r="G506" s="106" t="str"/>
      <x:c r="H506" s="18" t="str">
        <x:v>細胞由来の不要物と便の違い</x:v>
      </x:c>
      <x:c r="I506" s="18" t="str">
        <x:v>二酸化（さんか）炭素や尿素（にょうそ）は細胞の活動で生じた不要物で、肺・腎臓（じんぞう）・皮膚などから体外へ排出される。一方、便の主成分は消化・吸収されなかった食物などで、細胞で生じた不要物ではない。日常語ではどちらにも『排泄』を使うことがある。つながり：尿素／腎臓／肺／便</x:v>
      </x:c>
      <x:c r="J506" s="18" t="str">
        <x:v>尿素／腎臓／肺／便</x:v>
      </x:c>
    </x:row>
    <x:row r="507" ht="62" customHeight="1">
      <x:c r="A507" s="106" t="str">
        <x:v>BIO-122</x:v>
      </x:c>
      <x:c r="B507" s="106" t="str">
        <x:v>生物</x:v>
      </x:c>
      <x:c r="C507" s="106" t="str">
        <x:v>中2</x:v>
      </x:c>
      <x:c r="D507" s="106" t="str">
        <x:v>排出</x:v>
      </x:c>
      <x:c r="E507" s="106" t="str">
        <x:v>用語</x:v>
      </x:c>
      <x:c r="F507" s="106" t="str">
        <x:v>A</x:v>
      </x:c>
      <x:c r="G507" s="106" t="str"/>
      <x:c r="H507" s="18" t="str">
        <x:v>腎臓（じんぞう）のはたらき</x:v>
      </x:c>
      <x:c r="I507" s="18" t="str">
        <x:v>血液をろ過し、尿素（にょうそ）・余分な水・塩類などを尿として取り除き、体内環境を調節する。必要な物質の多くは再吸収される。尿は腎臓（じんぞう）→輸尿管→膀胱→尿道と流れる。つながり：尿素／尿／輸尿管／膀胱</x:v>
      </x:c>
      <x:c r="J507" s="18" t="str">
        <x:v>尿素／尿／輸尿管／膀胱</x:v>
      </x:c>
    </x:row>
    <x:row r="508" ht="62" customHeight="1">
      <x:c r="A508" s="106" t="str">
        <x:v>BIO-123</x:v>
      </x:c>
      <x:c r="B508" s="106" t="str">
        <x:v>生物</x:v>
      </x:c>
      <x:c r="C508" s="106" t="str">
        <x:v>中2</x:v>
      </x:c>
      <x:c r="D508" s="106" t="str">
        <x:v>排出</x:v>
      </x:c>
      <x:c r="E508" s="106" t="str">
        <x:v>因果</x:v>
      </x:c>
      <x:c r="F508" s="106" t="str">
        <x:v>A</x:v>
      </x:c>
      <x:c r="G508" s="106" t="str"/>
      <x:c r="H508" s="18" t="str">
        <x:v>尿素（にょうそ）ができるまで</x:v>
      </x:c>
      <x:c r="I508" s="18" t="str">
        <x:v>タンパク質が分解されると有害なアンモニアが生じ、肝臓で毒性の低い尿素（にょうそ）に変えられる。尿素は血液で腎臓（じんぞう）へ運ばれ、尿として排出される。つながり：タンパク質／アンモニア／肝臓／腎臓</x:v>
      </x:c>
      <x:c r="J508" s="18" t="str">
        <x:v>タンパク質／アンモニア／肝臓／腎臓</x:v>
      </x:c>
    </x:row>
    <x:row r="509" ht="62" customHeight="1">
      <x:c r="A509" s="106" t="str">
        <x:v>BIO-124</x:v>
      </x:c>
      <x:c r="B509" s="106" t="str">
        <x:v>生物</x:v>
      </x:c>
      <x:c r="C509" s="106" t="str">
        <x:v>中2</x:v>
      </x:c>
      <x:c r="D509" s="106" t="str">
        <x:v>神経系</x:v>
      </x:c>
      <x:c r="E509" s="106" t="str">
        <x:v>比較</x:v>
      </x:c>
      <x:c r="F509" s="106" t="str">
        <x:v>A</x:v>
      </x:c>
      <x:c r="G509" s="106" t="str"/>
      <x:c r="H509" s="18" t="str">
        <x:v>中枢神経（ちゅうすうしんけい）と末梢神経（まっしょうしんけい）</x:v>
      </x:c>
      <x:c r="I509" s="18" t="str">
        <x:v>中枢神経は脳と脊髄で、情報を整理し命令を出す。末梢神経は中枢と全身を結び、感覚神経と運動神経を含む。刺激から反応までの経路を方向付きで捉える。つながり：脳／脊髄／感覚神経／運動神経</x:v>
      </x:c>
      <x:c r="J509" s="18" t="str">
        <x:v>脳／脊髄／感覚神経／運動神経</x:v>
      </x:c>
    </x:row>
    <x:row r="510" ht="62" customHeight="1">
      <x:c r="A510" s="106" t="str">
        <x:v>BIO-125</x:v>
      </x:c>
      <x:c r="B510" s="106" t="str">
        <x:v>生物</x:v>
      </x:c>
      <x:c r="C510" s="106" t="str">
        <x:v>中2</x:v>
      </x:c>
      <x:c r="D510" s="106" t="str">
        <x:v>神経系</x:v>
      </x:c>
      <x:c r="E510" s="106" t="str">
        <x:v>因果</x:v>
      </x:c>
      <x:c r="F510" s="106" t="str">
        <x:v>A</x:v>
      </x:c>
      <x:c r="G510" s="106" t="n">
        <x:v>110</x:v>
      </x:c>
      <x:c r="H510" s="18" t="str">
        <x:v>刺激から意識的な反応まで</x:v>
      </x:c>
      <x:c r="I510" s="18" t="str">
        <x:v>受容器→感覚神経→脳などの中枢神経→運動神経→筋肉などの効果器、の順に信号が伝わる。感覚神経と運動神経の向きを逆にしない。つながり：受容器／感覚神経／中枢神経／効果器</x:v>
      </x:c>
      <x:c r="J510" s="18" t="str">
        <x:v>受容器／感覚神経／中枢神経／効果器</x:v>
      </x:c>
    </x:row>
    <x:row r="511" ht="62" customHeight="1">
      <x:c r="A511" s="106" t="str">
        <x:v>BIO-126</x:v>
      </x:c>
      <x:c r="B511" s="106" t="str">
        <x:v>生物</x:v>
      </x:c>
      <x:c r="C511" s="106" t="str">
        <x:v>中2</x:v>
      </x:c>
      <x:c r="D511" s="106" t="str">
        <x:v>神経系</x:v>
      </x:c>
      <x:c r="E511" s="106" t="str">
        <x:v>用語</x:v>
      </x:c>
      <x:c r="F511" s="106" t="str">
        <x:v>A</x:v>
      </x:c>
      <x:c r="G511" s="106" t="n">
        <x:v>111</x:v>
      </x:c>
      <x:c r="H511" s="18" t="str">
        <x:v>反射（はんしゃ）運動</x:v>
      </x:c>
      <x:c r="I511" s="18" t="str">
        <x:v>刺激に対して意識的な判断より先に起こる、決まった素早い反応。熱い物から手を引く場合、主に脊髄で命令が返され、その後に信号が脳へ届いて熱さを感じる。つながり：脊髄／反射（はんしゃ）弓／感覚神経／運動神経</x:v>
      </x:c>
      <x:c r="J511" s="18" t="str">
        <x:v>脊髄／反射はんしゃ&lt;／rt&gt;&lt;／ruby&gt;弓／感覚神経／運動神経</x:v>
      </x:c>
    </x:row>
    <x:row r="512" ht="62" customHeight="1">
      <x:c r="A512" s="106" t="str">
        <x:v>BIO-127</x:v>
      </x:c>
      <x:c r="B512" s="106" t="str">
        <x:v>生物</x:v>
      </x:c>
      <x:c r="C512" s="106" t="str">
        <x:v>中2</x:v>
      </x:c>
      <x:c r="D512" s="106" t="str">
        <x:v>神経系</x:v>
      </x:c>
      <x:c r="E512" s="106" t="str">
        <x:v>因果</x:v>
      </x:c>
      <x:c r="F512" s="106" t="str">
        <x:v>B</x:v>
      </x:c>
      <x:c r="G512" s="106" t="str"/>
      <x:c r="H512" s="18" t="str">
        <x:v>反射（はんしゃ）の利点</x:v>
      </x:c>
      <x:c r="I512" s="18" t="str">
        <x:v>脳で意識的に判断してから動くより短い経路で反応し、危険から体を守れる。また姿勢や内臓の調節にも反射（はんしゃ）が関わる。反射でも情報が脳に届かないわけではない。つながり：反射／脊髄／危険回避／中枢神経</x:v>
      </x:c>
      <x:c r="J512" s="18" t="str">
        <x:v>反射／脊髄／危険回避／中枢神経</x:v>
      </x:c>
    </x:row>
    <x:row r="513" ht="62" customHeight="1">
      <x:c r="A513" s="106" t="str">
        <x:v>BIO-128</x:v>
      </x:c>
      <x:c r="B513" s="106" t="str">
        <x:v>生物</x:v>
      </x:c>
      <x:c r="C513" s="106" t="str">
        <x:v>中2</x:v>
      </x:c>
      <x:c r="D513" s="106" t="str">
        <x:v>感覚器官</x:v>
      </x:c>
      <x:c r="E513" s="106" t="str">
        <x:v>読図</x:v>
      </x:c>
      <x:c r="F513" s="106" t="str">
        <x:v>A</x:v>
      </x:c>
      <x:c r="G513" s="106" t="str"/>
      <x:c r="H513" s="18" t="str">
        <x:v>目のつくりとピント調節</x:v>
      </x:c>
      <x:c r="I513" s="18" t="str">
        <x:v>角膜・瞳孔を通った光が水晶体で屈折（くっせつ）し、網膜に上下左右が逆の像を結ぶ。毛様体が水晶体の厚さを変えてピントを調節し、視神経が信号を脳へ送る。つながり：水晶体／網膜／視神経／瞳孔</x:v>
      </x:c>
      <x:c r="J513" s="18" t="str">
        <x:v>水晶体／網膜／視神経／瞳孔</x:v>
      </x:c>
    </x:row>
    <x:row r="514" ht="62" customHeight="1">
      <x:c r="A514" s="106" t="str">
        <x:v>BIO-129</x:v>
      </x:c>
      <x:c r="B514" s="106" t="str">
        <x:v>生物</x:v>
      </x:c>
      <x:c r="C514" s="106" t="str">
        <x:v>中2</x:v>
      </x:c>
      <x:c r="D514" s="106" t="str">
        <x:v>感覚器官</x:v>
      </x:c>
      <x:c r="E514" s="106" t="str">
        <x:v>因果</x:v>
      </x:c>
      <x:c r="F514" s="106" t="str">
        <x:v>B</x:v>
      </x:c>
      <x:c r="G514" s="106" t="str"/>
      <x:c r="H514" s="18" t="str">
        <x:v>耳のつくりと音の伝わり方</x:v>
      </x:c>
      <x:c r="I514" s="18" t="str">
        <x:v>音で鼓膜が振動し、耳小骨を通ってうずまき管の感覚細胞を刺激し、聴神経で脳へ伝わる。半規管は体の回転、前庭は傾きなどを感じ、聴覚とは別の平衡感覚に関わる。つながり：鼓膜／耳小骨／うずまき管／聴神経</x:v>
      </x:c>
      <x:c r="J514" s="18" t="str">
        <x:v>鼓膜／耳小骨／うずまき管／聴神経</x:v>
      </x:c>
    </x:row>
    <x:row r="515" ht="62" customHeight="1">
      <x:c r="A515" s="106" t="str">
        <x:v>BIO-130</x:v>
      </x:c>
      <x:c r="B515" s="106" t="str">
        <x:v>生物</x:v>
      </x:c>
      <x:c r="C515" s="106" t="str">
        <x:v>中2</x:v>
      </x:c>
      <x:c r="D515" s="106" t="str">
        <x:v>運動器官</x:v>
      </x:c>
      <x:c r="E515" s="106" t="str">
        <x:v>比較</x:v>
      </x:c>
      <x:c r="F515" s="106" t="str">
        <x:v>B</x:v>
      </x:c>
      <x:c r="G515" s="106" t="str"/>
      <x:c r="H515" s="18" t="str">
        <x:v>骨格・関節・腱</x:v>
      </x:c>
      <x:c r="I515" s="18" t="str">
        <x:v>骨格は体を支え内臓を守る。骨と骨が動く接続部が関節、筋肉と骨をつなぐ丈夫な組織が腱。靱帯（じんたい）は主に骨どうしをつなぐので区別する。つながり：骨格／関節／筋肉／腱</x:v>
      </x:c>
      <x:c r="J515" s="18" t="str">
        <x:v>骨格／関節／筋肉／腱</x:v>
      </x:c>
    </x:row>
    <x:row r="516" ht="62" customHeight="1">
      <x:c r="A516" s="106" t="str">
        <x:v>BIO-131</x:v>
      </x:c>
      <x:c r="B516" s="106" t="str">
        <x:v>生物</x:v>
      </x:c>
      <x:c r="C516" s="106" t="str">
        <x:v>中2</x:v>
      </x:c>
      <x:c r="D516" s="106" t="str">
        <x:v>運動器官</x:v>
      </x:c>
      <x:c r="E516" s="106" t="str">
        <x:v>因果</x:v>
      </x:c>
      <x:c r="F516" s="106" t="str">
        <x:v>A</x:v>
      </x:c>
      <x:c r="G516" s="106" t="str"/>
      <x:c r="H516" s="18" t="str">
        <x:v>拮抗（きっこう）する筋肉</x:v>
      </x:c>
      <x:c r="I516" s="18" t="str">
        <x:v>腕を曲げるときは上腕前側の筋肉が縮み後側がゆるみ、伸ばすときは逆になる。筋肉は縮んで引く方向に力を出すため、反対向きにはたらく筋肉が対になって運動する。つながり：筋肉／関節／腱／収縮</x:v>
      </x:c>
      <x:c r="J516" s="18" t="str">
        <x:v>筋肉／関節／腱／収縮</x:v>
      </x:c>
    </x:row>
    <x:row r="517" ht="62" customHeight="1">
      <x:c r="A517" s="106" t="str">
        <x:v>BIO-173</x:v>
      </x:c>
      <x:c r="B517" s="106" t="str">
        <x:v>生物</x:v>
      </x:c>
      <x:c r="C517" s="106" t="str">
        <x:v>中2</x:v>
      </x:c>
      <x:c r="D517" s="106" t="str">
        <x:v>呼吸</x:v>
      </x:c>
      <x:c r="E517" s="106" t="str">
        <x:v>実験</x:v>
      </x:c>
      <x:c r="F517" s="106" t="str">
        <x:v>A</x:v>
      </x:c>
      <x:c r="G517" s="106" t="str"/>
      <x:c r="H517" s="18" t="str">
        <x:v>呼吸運動模型と圧力</x:v>
      </x:c>
      <x:c r="I517" s="18" t="str">
        <x:v>ベルジャー模型では、容器が胸腔（きょうくう）、風船が肺、管が気管・気管支、底のゴム膜が横隔膜（おうかくまく）に対応する。膜を下げると内部体積が増えて圧力が下がり、外気が入って風船が膨らむ（吸気）。上げると体積が減って圧力が上がり、空気が出る（呼気）。つながり：横隔膜／胸腔／肺／気圧差</x:v>
      </x:c>
      <x:c r="J517" s="18" t="str">
        <x:v>横隔膜／胸腔／肺／気圧差</x:v>
      </x:c>
    </x:row>
    <x:row r="518" ht="62" customHeight="1">
      <x:c r="A518" s="106" t="str">
        <x:v>BIO-174</x:v>
      </x:c>
      <x:c r="B518" s="106" t="str">
        <x:v>生物</x:v>
      </x:c>
      <x:c r="C518" s="106" t="str">
        <x:v>中2</x:v>
      </x:c>
      <x:c r="D518" s="106" t="str">
        <x:v>消化と吸収</x:v>
      </x:c>
      <x:c r="E518" s="106" t="str">
        <x:v>比較</x:v>
      </x:c>
      <x:c r="F518" s="106" t="str">
        <x:v>B</x:v>
      </x:c>
      <x:c r="G518" s="106" t="n">
        <x:v>112</x:v>
      </x:c>
      <x:c r="H518" s="18" t="str">
        <x:v>栄養素の消化・吸収の比較</x:v>
      </x:c>
      <x:c r="I518" s="18" t="str">
        <x:v>栄養素｜主な消化液・酵素｜最終産物｜主な吸収先｜
デンプン｜だ液・膵液のアミラーゼ、腸液の酵素｜ブドウ糖｜毛細血管｜
タンパク質｜胃液のペプシン、膵液のトリプシン、腸液の酵素｜アミノ酸｜毛細血管｜
脂肪｜胆汁で乳化後、膵液のリパーゼ｜脂肪酸とモノグリセリドなど｜主にリンパ管｜
胆汁自体は消化酵素（しょうかこうそ）を含まず、吸収は主に小腸の絨毛で行われる。つながり：消化酵素／絨毛／毛細血管／リンパ管</x:v>
      </x:c>
      <x:c r="J518" s="18" t="str">
        <x:v>消化酵素／絨毛／毛細血管／リンパ管</x:v>
      </x:c>
    </x:row>
    <x:row r="519" ht="62" customHeight="1">
      <x:c r="A519" s="106" t="str">
        <x:v>EAR-006</x:v>
      </x:c>
      <x:c r="B519" s="106" t="str">
        <x:v>地学</x:v>
      </x:c>
      <x:c r="C519" s="106" t="str">
        <x:v>中2</x:v>
      </x:c>
      <x:c r="D519" s="106" t="str">
        <x:v>雲と雨</x:v>
      </x:c>
      <x:c r="E519" s="106" t="str">
        <x:v>誤解対策</x:v>
      </x:c>
      <x:c r="F519" s="106" t="str">
        <x:v>A</x:v>
      </x:c>
      <x:c r="G519" s="106" t="str"/>
      <x:c r="H519" s="18" t="str">
        <x:v>雲ができる基本</x:v>
      </x:c>
      <x:c r="I519" s="18" t="str">
        <x:v>空気中の水蒸気が冷やされ、細かな水滴や氷の粒になって空中に浮かぶと雲になる。水蒸気そのものは目に見えず、白く見える湯気も細かな水滴である。つながり：水蒸気／凝結（ぎょうけつ）／水滴／気温</x:v>
      </x:c>
      <x:c r="J519" s="18" t="str">
        <x:v>水蒸気／凝結ぎょうけつ&lt;／rt&gt;&lt;／ruby&gt;／水滴／気温</x:v>
      </x:c>
    </x:row>
    <x:row r="520" ht="62" customHeight="1">
      <x:c r="A520" s="106" t="str">
        <x:v>EAR-088</x:v>
      </x:c>
      <x:c r="B520" s="106" t="str">
        <x:v>地学</x:v>
      </x:c>
      <x:c r="C520" s="106" t="str">
        <x:v>中2</x:v>
      </x:c>
      <x:c r="D520" s="106" t="str">
        <x:v>大気</x:v>
      </x:c>
      <x:c r="E520" s="106" t="str">
        <x:v>用語</x:v>
      </x:c>
      <x:c r="F520" s="106" t="str">
        <x:v>A</x:v>
      </x:c>
      <x:c r="G520" s="106" t="str"/>
      <x:c r="H520" s="18" t="str">
        <x:v>大気の成分</x:v>
      </x:c>
      <x:c r="I520" s="18" t="str">
        <x:v>乾燥空気は体積比で窒素約78%、酸素約21%、アルゴン約0.9%、二酸化（さんか）炭素約0.04%。水蒸気量は場所・時刻で大きく変わる。最も多いのは酸素ではなく窒素。つながり：窒素／酸素／二酸化炭素／水蒸気</x:v>
      </x:c>
      <x:c r="J520" s="18" t="str">
        <x:v>窒素／酸素／二酸化炭素／水蒸気</x:v>
      </x:c>
    </x:row>
    <x:row r="521" ht="62" customHeight="1">
      <x:c r="A521" s="106" t="str">
        <x:v>EAR-089</x:v>
      </x:c>
      <x:c r="B521" s="106" t="str">
        <x:v>地学</x:v>
      </x:c>
      <x:c r="C521" s="106" t="str">
        <x:v>中2</x:v>
      </x:c>
      <x:c r="D521" s="106" t="str">
        <x:v>大気</x:v>
      </x:c>
      <x:c r="E521" s="106" t="str">
        <x:v>用語</x:v>
      </x:c>
      <x:c r="F521" s="106" t="str">
        <x:v>A</x:v>
      </x:c>
      <x:c r="G521" s="106" t="str"/>
      <x:c r="H521" s="18" t="str">
        <x:v>大気圧</x:v>
      </x:c>
      <x:c r="I521" s="18" t="str">
        <x:v>大気の重さによって物体の表面に働く圧力。あらゆる向きに働き、海面付近の標準的な値は約1013 hPa。高度が上がるほど上にある空気が減るので小さくなる。つながり：気圧／ヘクトパスカル／高度／空気の重さ</x:v>
      </x:c>
      <x:c r="J521" s="18" t="str">
        <x:v>気圧／ヘクトパスカル／高度／空気の重さ</x:v>
      </x:c>
    </x:row>
    <x:row r="522" ht="62" customHeight="1">
      <x:c r="A522" s="106" t="str">
        <x:v>EAR-090</x:v>
      </x:c>
      <x:c r="B522" s="106" t="str">
        <x:v>地学</x:v>
      </x:c>
      <x:c r="C522" s="106" t="str">
        <x:v>中2</x:v>
      </x:c>
      <x:c r="D522" s="106" t="str">
        <x:v>大気</x:v>
      </x:c>
      <x:c r="E522" s="106" t="str">
        <x:v>計算</x:v>
      </x:c>
      <x:c r="F522" s="106" t="str">
        <x:v>B</x:v>
      </x:c>
      <x:c r="G522" s="106" t="str"/>
      <x:c r="H522" s="18" t="str">
        <x:v>1気圧の大きさ</x:v>
      </x:c>
      <x:c r="I522" s="18" t="str">
        <x:v>1気圧は約1013 hPa＝約101300 Pa。1 Pa＝1 N/m²なので、1 m²には約10万Nの力が働く。体内からもほぼ同じ圧力が押し返すため普段はつぶれない。つながり：パスカル／圧力／大気圧／力</x:v>
      </x:c>
      <x:c r="J522" s="18" t="str">
        <x:v>パスカル／圧力／大気圧／力</x:v>
      </x:c>
    </x:row>
    <x:row r="523" ht="62" customHeight="1">
      <x:c r="A523" s="106" t="str">
        <x:v>EAR-091</x:v>
      </x:c>
      <x:c r="B523" s="106" t="str">
        <x:v>地学</x:v>
      </x:c>
      <x:c r="C523" s="106" t="str">
        <x:v>中2</x:v>
      </x:c>
      <x:c r="D523" s="106" t="str">
        <x:v>気象観測</x:v>
      </x:c>
      <x:c r="E523" s="106" t="str">
        <x:v>実験</x:v>
      </x:c>
      <x:c r="F523" s="106" t="str">
        <x:v>C</x:v>
      </x:c>
      <x:c r="G523" s="106" t="str"/>
      <x:c r="H523" s="18" t="str">
        <x:v>アネロイド気圧計</x:v>
      </x:c>
      <x:c r="I523" s="18" t="str">
        <x:v>金属製の真空に近い容器が気圧で変形するのを利用して測る。液体を使わず持ち運びやすい。読み取り時は目盛りと目の高さをそろえ、軽くたたいて針の摩擦を減らす。つながり：気圧／気圧計／大気圧／観測</x:v>
      </x:c>
      <x:c r="J523" s="18" t="str">
        <x:v>気圧／気圧計／大気圧／観測</x:v>
      </x:c>
    </x:row>
    <x:row r="524" ht="62" customHeight="1">
      <x:c r="A524" s="106" t="str">
        <x:v>EAR-092</x:v>
      </x:c>
      <x:c r="B524" s="106" t="str">
        <x:v>地学</x:v>
      </x:c>
      <x:c r="C524" s="106" t="str">
        <x:v>中2</x:v>
      </x:c>
      <x:c r="D524" s="106" t="str">
        <x:v>気象観測</x:v>
      </x:c>
      <x:c r="E524" s="106" t="str">
        <x:v>用語</x:v>
      </x:c>
      <x:c r="F524" s="106" t="str">
        <x:v>B</x:v>
      </x:c>
      <x:c r="G524" s="106" t="str"/>
      <x:c r="H524" s="18" t="str">
        <x:v>主な気象要素</x:v>
      </x:c>
      <x:c r="I524" s="18" t="str">
        <x:v>気温・湿度・気圧・風向・風速・雲量・降水量などを継続して観測する。同じ時刻・場所・器具・方法で測ると変化を比較できる。天気は一つの要素だけでは決まらない。つながり：気温／湿度／気圧／風</x:v>
      </x:c>
      <x:c r="J524" s="18" t="str">
        <x:v>気温／湿度／気圧／風</x:v>
      </x:c>
    </x:row>
    <x:row r="525" ht="62" customHeight="1">
      <x:c r="A525" s="106" t="str">
        <x:v>EAR-093</x:v>
      </x:c>
      <x:c r="B525" s="106" t="str">
        <x:v>地学</x:v>
      </x:c>
      <x:c r="C525" s="106" t="str">
        <x:v>中2</x:v>
      </x:c>
      <x:c r="D525" s="106" t="str">
        <x:v>湿度</x:v>
      </x:c>
      <x:c r="E525" s="106" t="str">
        <x:v>用語</x:v>
      </x:c>
      <x:c r="F525" s="106" t="str">
        <x:v>A</x:v>
      </x:c>
      <x:c r="G525" s="106" t="n">
        <x:v>79</x:v>
      </x:c>
      <x:c r="H525" s="18" t="str">
        <x:v>飽和水蒸気量（ほうわすいじょうきりょう）</x:v>
      </x:c>
      <x:c r="I525" s="18" t="str">
        <x:v>1 m³の空気がある温度で含むことのできる水蒸気の最大質量。気温が高いほど大きい。『現在含まれる量』ではなく上限なので、気温が変われば値も変わる。つながり：水蒸気／湿度／露点（ろてん）／凝結（ぎょうけつ）</x:v>
      </x:c>
      <x:c r="J525" s="18" t="str">
        <x:v>水蒸気／湿度／露点ろてん&lt;／rt&gt;&lt;／ruby&gt;／凝結ぎょうけつ&lt;／rt&gt;&lt;／ruby&gt;</x:v>
      </x:c>
    </x:row>
    <x:row r="526" ht="62" customHeight="1">
      <x:c r="A526" s="106" t="str">
        <x:v>EAR-094</x:v>
      </x:c>
      <x:c r="B526" s="106" t="str">
        <x:v>地学</x:v>
      </x:c>
      <x:c r="C526" s="106" t="str">
        <x:v>中2</x:v>
      </x:c>
      <x:c r="D526" s="106" t="str">
        <x:v>湿度</x:v>
      </x:c>
      <x:c r="E526" s="106" t="str">
        <x:v>計算</x:v>
      </x:c>
      <x:c r="F526" s="106" t="str">
        <x:v>A</x:v>
      </x:c>
      <x:c r="G526" s="106" t="n">
        <x:v>80</x:v>
      </x:c>
      <x:c r="H526" s="18" t="str">
        <x:v>相対湿度の計算</x:v>
      </x:c>
      <x:c r="I526" s="18" t="str">
        <x:v>湿度(%)＝実際の水蒸気量÷その気温での飽和水蒸気量（ほうわすいじょうきりょう）×100。同じ水蒸気量でも気温が下がると飽和水蒸気量が減るため、湿度は上がる。単位をそろえる。つながり：飽和水蒸気量／水蒸気量／気温／露点（ろてん）</x:v>
      </x:c>
      <x:c r="J526" s="18" t="str">
        <x:v>飽和水蒸気量／水蒸気量／気温／露点ろてん&lt;／rt&gt;&lt;／ruby&gt;</x:v>
      </x:c>
    </x:row>
    <x:row r="527" ht="62" customHeight="1">
      <x:c r="A527" s="106" t="str">
        <x:v>EAR-095</x:v>
      </x:c>
      <x:c r="B527" s="106" t="str">
        <x:v>地学</x:v>
      </x:c>
      <x:c r="C527" s="106" t="str">
        <x:v>中2</x:v>
      </x:c>
      <x:c r="D527" s="106" t="str">
        <x:v>湿度</x:v>
      </x:c>
      <x:c r="E527" s="106" t="str">
        <x:v>用語</x:v>
      </x:c>
      <x:c r="F527" s="106" t="str">
        <x:v>A</x:v>
      </x:c>
      <x:c r="G527" s="106" t="n">
        <x:v>81</x:v>
      </x:c>
      <x:c r="H527" s="18" t="str">
        <x:v>露点（ろてん）</x:v>
      </x:c>
      <x:c r="I527" s="18" t="str">
        <x:v>空気を水蒸気量を変えずに冷やしたとき、湿度が100%になり凝結（ぎょうけつ）が始まる温度。露点（ろてん）が高いほど、その空気に実際に含まれる水蒸気量が多い。現在の気温とは別。つながり：凝結／飽和／湿度／水蒸気量</x:v>
      </x:c>
      <x:c r="J527" s="18" t="str">
        <x:v>凝結／飽和／湿度／水蒸気量</x:v>
      </x:c>
    </x:row>
    <x:row r="528" ht="62" customHeight="1">
      <x:c r="A528" s="106" t="str">
        <x:v>EAR-096</x:v>
      </x:c>
      <x:c r="B528" s="106" t="str">
        <x:v>地学</x:v>
      </x:c>
      <x:c r="C528" s="106" t="str">
        <x:v>中2</x:v>
      </x:c>
      <x:c r="D528" s="106" t="str">
        <x:v>湿度</x:v>
      </x:c>
      <x:c r="E528" s="106" t="str">
        <x:v>計算</x:v>
      </x:c>
      <x:c r="F528" s="106" t="str">
        <x:v>A</x:v>
      </x:c>
      <x:c r="G528" s="106" t="str"/>
      <x:c r="H528" s="18" t="str">
        <x:v>露点（ろてん）から水蒸気量を求める</x:v>
      </x:c>
      <x:c r="I528" s="18" t="str">
        <x:v>空気中の実際の水蒸気量は、露点（ろてん）における飽和水蒸気量（ほうわすいじょうきりょう）に等しい。まず表・グラフで露点の飽和値を読み、その値を現在気温の飽和値で割れば湿度が求まる。つながり：露点／飽和水蒸気量曲線／湿度／凝結（ぎょうけつ）</x:v>
      </x:c>
      <x:c r="J528" s="18" t="str">
        <x:v>露点／飽和水蒸気量曲線／湿度／凝結ぎょうけつ&lt;／rt&gt;&lt;／ruby&gt;</x:v>
      </x:c>
    </x:row>
    <x:row r="529" ht="62" customHeight="1">
      <x:c r="A529" s="106" t="str">
        <x:v>EAR-097</x:v>
      </x:c>
      <x:c r="B529" s="106" t="str">
        <x:v>地学</x:v>
      </x:c>
      <x:c r="C529" s="106" t="str">
        <x:v>中2</x:v>
      </x:c>
      <x:c r="D529" s="106" t="str">
        <x:v>湿度</x:v>
      </x:c>
      <x:c r="E529" s="106" t="str">
        <x:v>計算</x:v>
      </x:c>
      <x:c r="F529" s="106" t="str">
        <x:v>A</x:v>
      </x:c>
      <x:c r="G529" s="106" t="str"/>
      <x:c r="H529" s="18" t="str">
        <x:v>空気を冷やしたときに凝結（ぎょうけつ）する水の量</x:v>
      </x:c>
      <x:c r="I529" s="18" t="str">
        <x:v>露点（ろてん）より低い温度まで冷やすと、凝結（ぎょうけつ）量＝もとの実際の水蒸気量－冷却後の飽和水蒸気量（ほうわすいじょうきりょう）。体積が指定される場合は1 m³あたりの差に体積を掛ける。つながり：凝結量／露点／飽和水蒸気量／体積</x:v>
      </x:c>
      <x:c r="J529" s="18" t="str">
        <x:v>凝結量／露点／飽和水蒸気量／体積</x:v>
      </x:c>
    </x:row>
    <x:row r="530" ht="62" customHeight="1">
      <x:c r="A530" s="106" t="str">
        <x:v>EAR-098</x:v>
      </x:c>
      <x:c r="B530" s="106" t="str">
        <x:v>地学</x:v>
      </x:c>
      <x:c r="C530" s="106" t="str">
        <x:v>中2</x:v>
      </x:c>
      <x:c r="D530" s="106" t="str">
        <x:v>湿度</x:v>
      </x:c>
      <x:c r="E530" s="106" t="str">
        <x:v>実験</x:v>
      </x:c>
      <x:c r="F530" s="106" t="str">
        <x:v>A</x:v>
      </x:c>
      <x:c r="G530" s="106" t="str"/>
      <x:c r="H530" s="18" t="str">
        <x:v>乾湿計（かんしつけい）</x:v>
      </x:c>
      <x:c r="I530" s="18" t="str">
        <x:v>乾球温度計と、ぬれた布を巻いた湿球温度計を用いる。湿球の布を十分ぬらし、通風させて示度が安定してから両方を読む。蒸発で湿球が冷えるため、空気が乾くほど乾球との差が大きく、湿度100%ではほぼ同じ温度になる。つながり：乾球温度／湿球温度／蒸発／湿度表</x:v>
      </x:c>
      <x:c r="J530" s="18" t="str">
        <x:v>乾球温度／湿球温度／蒸発／湿度表</x:v>
      </x:c>
    </x:row>
    <x:row r="531" ht="62" customHeight="1">
      <x:c r="A531" s="106" t="str">
        <x:v>EAR-099</x:v>
      </x:c>
      <x:c r="B531" s="106" t="str">
        <x:v>地学</x:v>
      </x:c>
      <x:c r="C531" s="106" t="str">
        <x:v>中2</x:v>
      </x:c>
      <x:c r="D531" s="106" t="str">
        <x:v>雲</x:v>
      </x:c>
      <x:c r="E531" s="106" t="str">
        <x:v>因果</x:v>
      </x:c>
      <x:c r="F531" s="106" t="str">
        <x:v>A</x:v>
      </x:c>
      <x:c r="G531" s="106" t="n">
        <x:v>82</x:v>
      </x:c>
      <x:c r="H531" s="18" t="str">
        <x:v>雲のでき方</x:v>
      </x:c>
      <x:c r="I531" s="18" t="str">
        <x:v>湿った空気が上昇すると周囲の気圧が下がって膨張し、温度が下がる。露点（ろてん）に達すると水蒸気が凝結核（ぎょうけつかく）の周りで水滴や氷晶になり、雲ができる。上昇自体が直接水を生むわけではない。つながり：上昇気流／断熱膨張／露点／凝結（ぎょうけつ）核</x:v>
      </x:c>
      <x:c r="J531" s="18" t="str">
        <x:v>上昇気流／断熱膨張／露点／凝結ぎょうけつ&lt;／rt&gt;&lt;／ruby&gt;核</x:v>
      </x:c>
    </x:row>
    <x:row r="532" ht="62" customHeight="1">
      <x:c r="A532" s="106" t="str">
        <x:v>EAR-100</x:v>
      </x:c>
      <x:c r="B532" s="106" t="str">
        <x:v>地学</x:v>
      </x:c>
      <x:c r="C532" s="106" t="str">
        <x:v>中2</x:v>
      </x:c>
      <x:c r="D532" s="106" t="str">
        <x:v>雲</x:v>
      </x:c>
      <x:c r="E532" s="106" t="str">
        <x:v>因果</x:v>
      </x:c>
      <x:c r="F532" s="106" t="str">
        <x:v>C</x:v>
      </x:c>
      <x:c r="G532" s="106" t="str"/>
      <x:c r="H532" s="18" t="str">
        <x:v>断熱膨張（だんねつぼうちょう）と温度低下</x:v>
      </x:c>
      <x:c r="I532" s="18" t="str">
        <x:v>上昇した空気塊は周囲の気圧が低いため膨張し、外へ仕事をして内部エネルギーを失い温度が下がる。熱を外へ逃がしたからだけではない。この冷却が雲の形成につながる。つながり：上昇気流／気圧／雲／凝結（ぎょうけつ）</x:v>
      </x:c>
      <x:c r="J532" s="18" t="str">
        <x:v>上昇気流／気圧／雲／凝結ぎょうけつ&lt;／rt&gt;&lt;／ruby&gt;</x:v>
      </x:c>
    </x:row>
    <x:row r="533" ht="62" customHeight="1">
      <x:c r="A533" s="106" t="str">
        <x:v>EAR-101</x:v>
      </x:c>
      <x:c r="B533" s="106" t="str">
        <x:v>地学</x:v>
      </x:c>
      <x:c r="C533" s="106" t="str">
        <x:v>中2</x:v>
      </x:c>
      <x:c r="D533" s="106" t="str">
        <x:v>雲</x:v>
      </x:c>
      <x:c r="E533" s="106" t="str">
        <x:v>実験</x:v>
      </x:c>
      <x:c r="F533" s="106" t="str">
        <x:v>A</x:v>
      </x:c>
      <x:c r="G533" s="106" t="n">
        <x:v>83</x:v>
      </x:c>
      <x:c r="H533" s="18" t="str">
        <x:v>雲を作る実験</x:v>
      </x:c>
      <x:c r="I533" s="18" t="str">
        <x:v>学校指定の耐圧器具を使い、保護眼鏡を着け、過度に加圧せず栓を人へ向けない。容器内を湿らせ、圧縮後に急に減圧すると空気が膨張・冷却して霧ができる。線香の煙は水滴がつく凝結核（ぎょうけつかく）を供給する。つながり：断熱膨張／凝結（ぎょうけつ）核／霧／気圧</x:v>
      </x:c>
      <x:c r="J533" s="18" t="str">
        <x:v>断熱膨張／凝結ぎょうけつ&lt;／rt&gt;&lt;／ruby&gt;核／霧／気圧</x:v>
      </x:c>
    </x:row>
    <x:row r="534" ht="62" customHeight="1">
      <x:c r="A534" s="106" t="str">
        <x:v>EAR-102</x:v>
      </x:c>
      <x:c r="B534" s="106" t="str">
        <x:v>地学</x:v>
      </x:c>
      <x:c r="C534" s="106" t="str">
        <x:v>中2</x:v>
      </x:c>
      <x:c r="D534" s="106" t="str">
        <x:v>降水</x:v>
      </x:c>
      <x:c r="E534" s="106" t="str">
        <x:v>因果</x:v>
      </x:c>
      <x:c r="F534" s="106" t="str">
        <x:v>B</x:v>
      </x:c>
      <x:c r="G534" s="106" t="str"/>
      <x:c r="H534" s="18" t="str">
        <x:v>雨や雪になるまで</x:v>
      </x:c>
      <x:c r="I534" s="18" t="str">
        <x:v>雲粒が衝突して大きくなる、または氷晶が成長して落下し、地上まで融ければ雨、融けずに届けば雪になる。雲粒は小さく上昇気流で浮くが、大きく重くなると落ちる。つながり：雲粒／氷晶／上昇気流／降水</x:v>
      </x:c>
      <x:c r="J534" s="18" t="str">
        <x:v>雲粒／氷晶／上昇気流／降水</x:v>
      </x:c>
    </x:row>
    <x:row r="535" ht="62" customHeight="1">
      <x:c r="A535" s="106" t="str">
        <x:v>EAR-103</x:v>
      </x:c>
      <x:c r="B535" s="106" t="str">
        <x:v>地学</x:v>
      </x:c>
      <x:c r="C535" s="106" t="str">
        <x:v>中2</x:v>
      </x:c>
      <x:c r="D535" s="106" t="str">
        <x:v>風</x:v>
      </x:c>
      <x:c r="E535" s="106" t="str">
        <x:v>因果</x:v>
      </x:c>
      <x:c r="F535" s="106" t="str">
        <x:v>A</x:v>
      </x:c>
      <x:c r="G535" s="106" t="n">
        <x:v>99</x:v>
      </x:c>
      <x:c r="H535" s="18" t="str">
        <x:v>風が吹く基本原理</x:v>
      </x:c>
      <x:c r="I535" s="18" t="str">
        <x:v>水平方向の気圧差による力で、空気は基本的に高気圧側から低気圧側へ動き始める。実際の大規模な風は地球の自転の影響で進路を曲げられ、地表付近では摩擦も受けるため、等圧線（とうあつせん）に直角な直線とは限らない。つながり：気圧差／高気圧／低気圧／地球の自転</x:v>
      </x:c>
      <x:c r="J535" s="18" t="str">
        <x:v>気圧差／高気圧／低気圧／地球の自転</x:v>
      </x:c>
    </x:row>
    <x:row r="536" ht="62" customHeight="1">
      <x:c r="A536" s="106" t="str">
        <x:v>EAR-104</x:v>
      </x:c>
      <x:c r="B536" s="106" t="str">
        <x:v>地学</x:v>
      </x:c>
      <x:c r="C536" s="106" t="str">
        <x:v>中2</x:v>
      </x:c>
      <x:c r="D536" s="106" t="str">
        <x:v>天気図</x:v>
      </x:c>
      <x:c r="E536" s="106" t="str">
        <x:v>読図</x:v>
      </x:c>
      <x:c r="F536" s="106" t="str">
        <x:v>A</x:v>
      </x:c>
      <x:c r="G536" s="106" t="n">
        <x:v>100</x:v>
      </x:c>
      <x:c r="H536" s="18" t="str">
        <x:v>等圧線（とうあつせん）</x:v>
      </x:c>
      <x:c r="I536" s="18" t="str">
        <x:v>同じ時刻に気圧が等しい地点を結んだ線。通常4 hPaごとに描く。間隔が狭いほど水平気圧差が大きく、一般に風が強い。枝分かれしたり交差したりしない。つながり：気圧／天気図／風速／高気圧</x:v>
      </x:c>
      <x:c r="J536" s="18" t="str">
        <x:v>気圧／天気図／風速／高気圧</x:v>
      </x:c>
    </x:row>
    <x:row r="537" ht="62" customHeight="1">
      <x:c r="A537" s="106" t="str">
        <x:v>EAR-105</x:v>
      </x:c>
      <x:c r="B537" s="106" t="str">
        <x:v>地学</x:v>
      </x:c>
      <x:c r="C537" s="106" t="str">
        <x:v>中2</x:v>
      </x:c>
      <x:c r="D537" s="106" t="str">
        <x:v>天気図</x:v>
      </x:c>
      <x:c r="E537" s="106" t="str">
        <x:v>読図</x:v>
      </x:c>
      <x:c r="F537" s="106" t="str">
        <x:v>A</x:v>
      </x:c>
      <x:c r="G537" s="106" t="str"/>
      <x:c r="H537" s="18" t="str">
        <x:v>高気圧付近の風と天気</x:v>
      </x:c>
      <x:c r="I537" s="18" t="str">
        <x:v>北半球では地表付近の風が高気圧から時計回りに吹き出す。下降気流で雲ができにくく晴れやすいが、季節や湿度によって霧・低い雲が出ることもあり、必ず快晴とは限らない。つながり：下降気流／時計回り／晴天／北半球</x:v>
      </x:c>
      <x:c r="J537" s="18" t="str">
        <x:v>下降気流／時計回り／晴天／北半球</x:v>
      </x:c>
    </x:row>
    <x:row r="538" ht="62" customHeight="1">
      <x:c r="A538" s="106" t="str">
        <x:v>EAR-106</x:v>
      </x:c>
      <x:c r="B538" s="106" t="str">
        <x:v>地学</x:v>
      </x:c>
      <x:c r="C538" s="106" t="str">
        <x:v>中2</x:v>
      </x:c>
      <x:c r="D538" s="106" t="str">
        <x:v>天気図</x:v>
      </x:c>
      <x:c r="E538" s="106" t="str">
        <x:v>読図</x:v>
      </x:c>
      <x:c r="F538" s="106" t="str">
        <x:v>A</x:v>
      </x:c>
      <x:c r="G538" s="106" t="n">
        <x:v>101</x:v>
      </x:c>
      <x:c r="H538" s="18" t="str">
        <x:v>低気圧付近の風と天気</x:v>
      </x:c>
      <x:c r="I538" s="18" t="str">
        <x:v>北半球では地表付近の風が反時計回りに吹き込み、上昇気流となる。空気が冷えて雲や雨が生じやすい。中心へ完全な直線で吹くのではなく、回転しながら収束する。つながり：上昇気流／反時計回り／雲／北半球</x:v>
      </x:c>
      <x:c r="J538" s="18" t="str">
        <x:v>上昇気流／反時計回り／雲／北半球</x:v>
      </x:c>
    </x:row>
    <x:row r="539" ht="62" customHeight="1">
      <x:c r="A539" s="106" t="str">
        <x:v>EAR-107</x:v>
      </x:c>
      <x:c r="B539" s="106" t="str">
        <x:v>地学</x:v>
      </x:c>
      <x:c r="C539" s="106" t="str">
        <x:v>中2</x:v>
      </x:c>
      <x:c r="D539" s="106" t="str">
        <x:v>気団</x:v>
      </x:c>
      <x:c r="E539" s="106" t="str">
        <x:v>用語</x:v>
      </x:c>
      <x:c r="F539" s="106" t="str">
        <x:v>A</x:v>
      </x:c>
      <x:c r="G539" s="106" t="str"/>
      <x:c r="H539" s="18" t="str">
        <x:v>気団</x:v>
      </x:c>
      <x:c r="I539" s="18" t="str">
        <x:v>広い範囲で気温・湿度がほぼ一様な大きな空気の塊。発生した海上・大陸や緯度の性質を帯びる。異なる気団が接する境界が前線（ぜんせん）面で、地表との交線が前線。つながり：前線／気温／湿度／空気塊</x:v>
      </x:c>
      <x:c r="J539" s="18" t="str">
        <x:v>前線／気温／湿度／空気塊</x:v>
      </x:c>
    </x:row>
    <x:row r="540" ht="62" customHeight="1">
      <x:c r="A540" s="106" t="str">
        <x:v>EAR-108</x:v>
      </x:c>
      <x:c r="B540" s="106" t="str">
        <x:v>地学</x:v>
      </x:c>
      <x:c r="C540" s="106" t="str">
        <x:v>中2</x:v>
      </x:c>
      <x:c r="D540" s="106" t="str">
        <x:v>前線</x:v>
      </x:c>
      <x:c r="E540" s="106" t="str">
        <x:v>用語</x:v>
      </x:c>
      <x:c r="F540" s="106" t="str">
        <x:v>A</x:v>
      </x:c>
      <x:c r="G540" s="106" t="str"/>
      <x:c r="H540" s="18" t="str">
        <x:v>温暖前線（おんだんぜんせん）</x:v>
      </x:c>
      <x:c r="I540" s="18" t="str">
        <x:v>暖気が寒気の上を緩やかにはい上がる前線（ぜんせん）。広い範囲に層状の雲ができ、比較的弱い雨が長く続きやすい。通過後は気温が上がり、風向が変化することが多い。つながり：暖気／寒気／乱層雲／気温上昇</x:v>
      </x:c>
      <x:c r="J540" s="18" t="str">
        <x:v>暖気／寒気／乱層雲／気温上昇</x:v>
      </x:c>
    </x:row>
    <x:row r="541" ht="62" customHeight="1">
      <x:c r="A541" s="106" t="str">
        <x:v>EAR-109</x:v>
      </x:c>
      <x:c r="B541" s="106" t="str">
        <x:v>地学</x:v>
      </x:c>
      <x:c r="C541" s="106" t="str">
        <x:v>中2</x:v>
      </x:c>
      <x:c r="D541" s="106" t="str">
        <x:v>前線</x:v>
      </x:c>
      <x:c r="E541" s="106" t="str">
        <x:v>用語</x:v>
      </x:c>
      <x:c r="F541" s="106" t="str">
        <x:v>A</x:v>
      </x:c>
      <x:c r="G541" s="106" t="str"/>
      <x:c r="H541" s="18" t="str">
        <x:v>寒冷前線（かんれいぜんせん）</x:v>
      </x:c>
      <x:c r="I541" s="18" t="str">
        <x:v>進む寒気が暖気の下にもぐり込み、暖気を急に押し上げる前線（ぜんせん）。積乱雲が発達し、狭い範囲で短時間の強い雨や雷・突風が起こりやすい。通過後は気温が下がる。つながり：積乱雲／強雨／寒気／気温低下</x:v>
      </x:c>
      <x:c r="J541" s="18" t="str">
        <x:v>積乱雲／強雨／寒気／気温低下</x:v>
      </x:c>
    </x:row>
    <x:row r="542" ht="62" customHeight="1">
      <x:c r="A542" s="106" t="str">
        <x:v>EAR-110</x:v>
      </x:c>
      <x:c r="B542" s="106" t="str">
        <x:v>地学</x:v>
      </x:c>
      <x:c r="C542" s="106" t="str">
        <x:v>中2</x:v>
      </x:c>
      <x:c r="D542" s="106" t="str">
        <x:v>前線</x:v>
      </x:c>
      <x:c r="E542" s="106" t="str">
        <x:v>比較</x:v>
      </x:c>
      <x:c r="F542" s="106" t="str">
        <x:v>A</x:v>
      </x:c>
      <x:c r="G542" s="106" t="n">
        <x:v>102</x:v>
      </x:c>
      <x:c r="H542" s="18" t="str">
        <x:v>温暖前線（おんだんぜんせん）と寒冷前線（かんれいぜんせん）の断面</x:v>
      </x:c>
      <x:c r="I542" s="18" t="str">
        <x:v>温暖前線（おんだんぜんせん）は傾斜が緩く雲・雨域が前線（ぜんせん）の前方へ広がる。寒冷前線（かんれいぜんせん）は傾斜が急で、前線付近に積乱雲が並びやすい。暖気はどちらでも密度の大きい寒気の上に上がる。つながり：前線面／暖気／寒気／雲の種類</x:v>
      </x:c>
      <x:c r="J542" s="18" t="str">
        <x:v>前線面／暖気／寒気／雲の種類</x:v>
      </x:c>
    </x:row>
    <x:row r="543" ht="62" customHeight="1">
      <x:c r="A543" s="106" t="str">
        <x:v>EAR-111</x:v>
      </x:c>
      <x:c r="B543" s="106" t="str">
        <x:v>地学</x:v>
      </x:c>
      <x:c r="C543" s="106" t="str">
        <x:v>中2</x:v>
      </x:c>
      <x:c r="D543" s="106" t="str">
        <x:v>前線</x:v>
      </x:c>
      <x:c r="E543" s="106" t="str">
        <x:v>用語</x:v>
      </x:c>
      <x:c r="F543" s="106" t="str">
        <x:v>A</x:v>
      </x:c>
      <x:c r="G543" s="106" t="str"/>
      <x:c r="H543" s="18" t="str">
        <x:v>停滞前線（ていたいぜんせん）</x:v>
      </x:c>
      <x:c r="I543" s="18" t="str">
        <x:v>暖気と寒気の勢力がほぼ同じで、境界があまり移動しない前線（ぜんせん）。長期間にわたり曇りや雨をもたらす。日本の梅雨前線や秋雨前線が代表。つながり：梅雨前線／秋雨前線／気団／長雨</x:v>
      </x:c>
      <x:c r="J543" s="18" t="str">
        <x:v>梅雨前線／秋雨前線／気団／長雨</x:v>
      </x:c>
    </x:row>
    <x:row r="544" ht="62" customHeight="1">
      <x:c r="A544" s="106" t="str">
        <x:v>EAR-112</x:v>
      </x:c>
      <x:c r="B544" s="106" t="str">
        <x:v>地学</x:v>
      </x:c>
      <x:c r="C544" s="106" t="str">
        <x:v>中2</x:v>
      </x:c>
      <x:c r="D544" s="106" t="str">
        <x:v>前線</x:v>
      </x:c>
      <x:c r="E544" s="106" t="str">
        <x:v>用語</x:v>
      </x:c>
      <x:c r="F544" s="106" t="str">
        <x:v>B</x:v>
      </x:c>
      <x:c r="G544" s="106" t="str"/>
      <x:c r="H544" s="18" t="str">
        <x:v>閉塞前線（へいそくぜんせん）</x:v>
      </x:c>
      <x:c r="I544" s="18" t="str">
        <x:v>寒冷前線（かんれいぜんせん）が温暖前線（おんだんぜんせん）に追いつき、地上の暖気が押し上げられた前線（ぜんせん）。発達した温帯低気圧の後期に見られる。天気図では三角と半円が同じ側に交互に並ぶ。つながり：温帯低気圧／寒冷前線／温暖前線／前線記号</x:v>
      </x:c>
      <x:c r="J544" s="18" t="str">
        <x:v>温帯低気圧／寒冷前線／温暖前線／前線記号</x:v>
      </x:c>
    </x:row>
    <x:row r="545" ht="62" customHeight="1">
      <x:c r="A545" s="106" t="str">
        <x:v>EAR-113</x:v>
      </x:c>
      <x:c r="B545" s="106" t="str">
        <x:v>地学</x:v>
      </x:c>
      <x:c r="C545" s="106" t="str">
        <x:v>中2</x:v>
      </x:c>
      <x:c r="D545" s="106" t="str">
        <x:v>低気圧</x:v>
      </x:c>
      <x:c r="E545" s="106" t="str">
        <x:v>因果</x:v>
      </x:c>
      <x:c r="F545" s="106" t="str">
        <x:v>A</x:v>
      </x:c>
      <x:c r="G545" s="106" t="str"/>
      <x:c r="H545" s="18" t="str">
        <x:v>温帯低気圧の発達</x:v>
      </x:c>
      <x:c r="I545" s="18" t="str">
        <x:v>中緯度で暖気と寒気の境界に発生し、温暖前線（おんだんぜんせん）と寒冷前線（かんれいぜんせん）を伴って西から東へ進むことが多い。発達後、寒冷前線が温暖前線に追いつき閉塞して衰える。つながり：温暖前線／寒冷前線／閉塞前線（へいそくぜんせん）／偏西風</x:v>
      </x:c>
      <x:c r="J545" s="18" t="str">
        <x:v>温暖前線／寒冷前線／閉塞前線へいそくぜんせん&lt;／rt&gt;&lt;／ruby&gt;／偏西風</x:v>
      </x:c>
    </x:row>
    <x:row r="546" ht="62" customHeight="1">
      <x:c r="A546" s="106" t="str">
        <x:v>EAR-114</x:v>
      </x:c>
      <x:c r="B546" s="106" t="str">
        <x:v>地学</x:v>
      </x:c>
      <x:c r="C546" s="106" t="str">
        <x:v>中2</x:v>
      </x:c>
      <x:c r="D546" s="106" t="str">
        <x:v>天気図</x:v>
      </x:c>
      <x:c r="E546" s="106" t="str">
        <x:v>読図</x:v>
      </x:c>
      <x:c r="F546" s="106" t="str">
        <x:v>A</x:v>
      </x:c>
      <x:c r="G546" s="106" t="str"/>
      <x:c r="H546" s="18" t="str">
        <x:v>前線（ぜんせん）通過を観測値から読む</x:v>
      </x:c>
      <x:c r="I546" s="18" t="str">
        <x:v>温暖前線（おんだんぜんせん）通過では気温上昇、寒冷前線（かんれいぜんせん）通過では気温急降下・風向変化・短時間の強雨が手がかり。気圧は低気圧接近で下がり、通過後に上がることが多い。複数要素を合わせる。つながり：気温／風向／気圧／降水</x:v>
      </x:c>
      <x:c r="J546" s="18" t="str">
        <x:v>気温／風向／気圧／降水</x:v>
      </x:c>
    </x:row>
    <x:row r="547" ht="62" customHeight="1">
      <x:c r="A547" s="106" t="str">
        <x:v>EAR-115</x:v>
      </x:c>
      <x:c r="B547" s="106" t="str">
        <x:v>地学</x:v>
      </x:c>
      <x:c r="C547" s="106" t="str">
        <x:v>中2</x:v>
      </x:c>
      <x:c r="D547" s="106" t="str">
        <x:v>日本の天気</x:v>
      </x:c>
      <x:c r="E547" s="106" t="str">
        <x:v>比較</x:v>
      </x:c>
      <x:c r="F547" s="106" t="str">
        <x:v>B</x:v>
      </x:c>
      <x:c r="G547" s="106" t="str"/>
      <x:c r="H547" s="18" t="str">
        <x:v>日本に影響する4気団</x:v>
      </x:c>
      <x:c r="I547" s="18" t="str">
        <x:v>冬のシベリア気団は寒冷・乾燥、夏の小笠原気団は高温・湿潤。梅雨期のオホーツク海気団は冷涼・湿潤、春秋の揚子江気団は温暖・乾燥。つながり：シベリア気団／小笠原気団／オホーツク海気団／揚子江気団</x:v>
      </x:c>
      <x:c r="J547" s="18" t="str">
        <x:v>シベリア気団／小笠原気団／オホーツク海気団／揚子江気団</x:v>
      </x:c>
    </x:row>
    <x:row r="548" ht="62" customHeight="1">
      <x:c r="A548" s="106" t="str">
        <x:v>EAR-116</x:v>
      </x:c>
      <x:c r="B548" s="106" t="str">
        <x:v>地学</x:v>
      </x:c>
      <x:c r="C548" s="106" t="str">
        <x:v>中2</x:v>
      </x:c>
      <x:c r="D548" s="106" t="str">
        <x:v>日本の天気</x:v>
      </x:c>
      <x:c r="E548" s="106" t="str">
        <x:v>因果</x:v>
      </x:c>
      <x:c r="F548" s="106" t="str">
        <x:v>A</x:v>
      </x:c>
      <x:c r="G548" s="106" t="n">
        <x:v>103</x:v>
      </x:c>
      <x:c r="H548" s="18" t="str">
        <x:v>冬型の気圧配置</x:v>
      </x:c>
      <x:c r="I548" s="18" t="str">
        <x:v>西高東低。シベリア高気圧から北西季節風が吹き、日本海で水蒸気を得て山地で雪を降らせる。日本海側は雪や曇り、山を越えた太平洋側は乾燥した晴天になりやすい。つながり：西高東低／北西季節風／日本海側／太平洋側</x:v>
      </x:c>
      <x:c r="J548" s="18" t="str">
        <x:v>西高東低／北西季節風／日本海側／太平洋側</x:v>
      </x:c>
    </x:row>
    <x:row r="549" ht="62" customHeight="1">
      <x:c r="A549" s="106" t="str">
        <x:v>EAR-117</x:v>
      </x:c>
      <x:c r="B549" s="106" t="str">
        <x:v>地学</x:v>
      </x:c>
      <x:c r="C549" s="106" t="str">
        <x:v>中2</x:v>
      </x:c>
      <x:c r="D549" s="106" t="str">
        <x:v>日本の天気</x:v>
      </x:c>
      <x:c r="E549" s="106" t="str">
        <x:v>因果</x:v>
      </x:c>
      <x:c r="F549" s="106" t="str">
        <x:v>A</x:v>
      </x:c>
      <x:c r="G549" s="106" t="str"/>
      <x:c r="H549" s="18" t="str">
        <x:v>春・秋の移動性高気圧</x:v>
      </x:c>
      <x:c r="I549" s="18" t="str">
        <x:v>偏西風に乗って高気圧と低気圧が交互に西から東へ進み、天気が数日周期で変わりやすい。高気圧通過中は晴れ、低気圧・前線（ぜんせん）の接近で雨になりやすい。つながり：移動性高気圧／温帯低気圧／偏西風／周期変化</x:v>
      </x:c>
      <x:c r="J549" s="18" t="str">
        <x:v>移動性高気圧／温帯低気圧／偏西風／周期変化</x:v>
      </x:c>
    </x:row>
    <x:row r="550" ht="62" customHeight="1">
      <x:c r="A550" s="106" t="str">
        <x:v>EAR-118</x:v>
      </x:c>
      <x:c r="B550" s="106" t="str">
        <x:v>地学</x:v>
      </x:c>
      <x:c r="C550" s="106" t="str">
        <x:v>中2</x:v>
      </x:c>
      <x:c r="D550" s="106" t="str">
        <x:v>日本の天気</x:v>
      </x:c>
      <x:c r="E550" s="106" t="str">
        <x:v>因果</x:v>
      </x:c>
      <x:c r="F550" s="106" t="str">
        <x:v>A</x:v>
      </x:c>
      <x:c r="G550" s="106" t="str"/>
      <x:c r="H550" s="18" t="str">
        <x:v>梅雨の仕組み</x:v>
      </x:c>
      <x:c r="I550" s="18" t="str">
        <x:v>冷涼で湿ったオホーツク海気団と、高温で湿った小笠原気団の間に梅雨前線（ぜんせん）が停滞し、曇雨天が続く。前線上の低気圧や湿った空気で大雨になることもある。つながり：梅雨前線／オホーツク海気団／小笠原気団／停滞前線（ていたいぜんせん）</x:v>
      </x:c>
      <x:c r="J550" s="18" t="str">
        <x:v>梅雨前線／オホーツク海気団／小笠原気団／停滞前線ていたいぜんせん&lt;／rt&gt;&lt;／ruby&gt;</x:v>
      </x:c>
    </x:row>
    <x:row r="551" ht="62" customHeight="1">
      <x:c r="A551" s="106" t="str">
        <x:v>EAR-119</x:v>
      </x:c>
      <x:c r="B551" s="106" t="str">
        <x:v>地学</x:v>
      </x:c>
      <x:c r="C551" s="106" t="str">
        <x:v>中2</x:v>
      </x:c>
      <x:c r="D551" s="106" t="str">
        <x:v>日本の天気</x:v>
      </x:c>
      <x:c r="E551" s="106" t="str">
        <x:v>因果</x:v>
      </x:c>
      <x:c r="F551" s="106" t="str">
        <x:v>A</x:v>
      </x:c>
      <x:c r="G551" s="106" t="str"/>
      <x:c r="H551" s="18" t="str">
        <x:v>夏型の気圧配置</x:v>
      </x:c>
      <x:c r="I551" s="18" t="str">
        <x:v>太平洋高気圧（小笠原気団）に広く覆われ、高温で晴れる日が多い。強い日射で地表付近が熱せられると上昇気流が生じ、午後に積乱雲・雷雨が発生することもある。つながり：太平洋高気圧／小笠原気団／積乱雲／雷雨</x:v>
      </x:c>
      <x:c r="J551" s="18" t="str">
        <x:v>太平洋高気圧／小笠原気団／積乱雲／雷雨</x:v>
      </x:c>
    </x:row>
    <x:row r="552" ht="62" customHeight="1">
      <x:c r="A552" s="106" t="str">
        <x:v>EAR-120</x:v>
      </x:c>
      <x:c r="B552" s="106" t="str">
        <x:v>地学</x:v>
      </x:c>
      <x:c r="C552" s="106" t="str">
        <x:v>中2</x:v>
      </x:c>
      <x:c r="D552" s="106" t="str">
        <x:v>日本の天気</x:v>
      </x:c>
      <x:c r="E552" s="106" t="str">
        <x:v>因果</x:v>
      </x:c>
      <x:c r="F552" s="106" t="str">
        <x:v>B</x:v>
      </x:c>
      <x:c r="G552" s="106" t="str"/>
      <x:c r="H552" s="18" t="str">
        <x:v>季節風</x:v>
      </x:c>
      <x:c r="I552" s="18" t="str">
        <x:v>大陸と海洋の温まり方・冷え方の違いで、季節により卓越風向が変わる風。冬は大陸から海へ、夏は海から大陸へ吹きやすい。地球規模の気圧配置も関わる。つながり：比熱／大陸／海洋／気圧差</x:v>
      </x:c>
      <x:c r="J552" s="18" t="str">
        <x:v>比熱／大陸／海洋／気圧差</x:v>
      </x:c>
    </x:row>
    <x:row r="553" ht="62" customHeight="1">
      <x:c r="A553" s="106" t="str">
        <x:v>EAR-121</x:v>
      </x:c>
      <x:c r="B553" s="106" t="str">
        <x:v>地学</x:v>
      </x:c>
      <x:c r="C553" s="106" t="str">
        <x:v>中2</x:v>
      </x:c>
      <x:c r="D553" s="106" t="str">
        <x:v>局地風</x:v>
      </x:c>
      <x:c r="E553" s="106" t="str">
        <x:v>比較</x:v>
      </x:c>
      <x:c r="F553" s="106" t="str">
        <x:v>A</x:v>
      </x:c>
      <x:c r="G553" s="106" t="str"/>
      <x:c r="H553" s="18" t="str">
        <x:v>海風と陸風</x:v>
      </x:c>
      <x:c r="I553" s="18" t="str">
        <x:v>昼は陸が海より早く温まり、陸上で上昇気流が生じて海から陸へ海風が吹く。夜は陸が早く冷え、陸から海へ陸風が吹く。日変化する小規模な循環。つながり：海風／陸風／比熱／気圧差</x:v>
      </x:c>
      <x:c r="J553" s="18" t="str">
        <x:v>海風／陸風／比熱／気圧差</x:v>
      </x:c>
    </x:row>
    <x:row r="554" ht="62" customHeight="1">
      <x:c r="A554" s="106" t="str">
        <x:v>EAR-122</x:v>
      </x:c>
      <x:c r="B554" s="106" t="str">
        <x:v>地学</x:v>
      </x:c>
      <x:c r="C554" s="106" t="str">
        <x:v>中2</x:v>
      </x:c>
      <x:c r="D554" s="106" t="str">
        <x:v>局地風</x:v>
      </x:c>
      <x:c r="E554" s="106" t="str">
        <x:v>因果</x:v>
      </x:c>
      <x:c r="F554" s="106" t="str">
        <x:v>B</x:v>
      </x:c>
      <x:c r="G554" s="106" t="str"/>
      <x:c r="H554" s="18" t="str">
        <x:v>フェーン現象</x:v>
      </x:c>
      <x:c r="I554" s="18" t="str">
        <x:v>湿った空気が山を上ると冷えて雨を降らせ、山を越えて下ると圧縮されて温度が上がる。風下側で高温・乾燥した風になる。単に南から暖気が来る現象ではない。つながり：断熱変化／山越え気流／乾燥／風下</x:v>
      </x:c>
      <x:c r="J554" s="18" t="str">
        <x:v>断熱変化／山越え気流／乾燥／風下</x:v>
      </x:c>
    </x:row>
    <x:row r="555" ht="62" customHeight="1">
      <x:c r="A555" s="106" t="str">
        <x:v>EAR-123</x:v>
      </x:c>
      <x:c r="B555" s="106" t="str">
        <x:v>地学</x:v>
      </x:c>
      <x:c r="C555" s="106" t="str">
        <x:v>中2</x:v>
      </x:c>
      <x:c r="D555" s="106" t="str">
        <x:v>台風</x:v>
      </x:c>
      <x:c r="E555" s="106" t="str">
        <x:v>用語</x:v>
      </x:c>
      <x:c r="F555" s="106" t="str">
        <x:v>A</x:v>
      </x:c>
      <x:c r="G555" s="106" t="str"/>
      <x:c r="H555" s="18" t="str">
        <x:v>台風</x:v>
      </x:c>
      <x:c r="I555" s="18" t="str">
        <x:v>北西太平洋（赤道より北・東経180°より西）または南シナ海にある熱帯低気圧のうち、低気圧域内の最大風速（10分間平均）が約17 m/s（34 kt、風力8）以上のもの。暖かい海から得た水蒸気の凝結（ぎょうけつ）熱で発達し、基本的に前線（ぜんせん）を伴わない。つながり：熱帯低気圧／水蒸気／凝結熱／暴風</x:v>
      </x:c>
      <x:c r="J555" s="18" t="str">
        <x:v>熱帯低気圧／水蒸気／凝結熱／暴風</x:v>
      </x:c>
    </x:row>
    <x:row r="556" ht="62" customHeight="1">
      <x:c r="A556" s="106" t="str">
        <x:v>EAR-124</x:v>
      </x:c>
      <x:c r="B556" s="106" t="str">
        <x:v>地学</x:v>
      </x:c>
      <x:c r="C556" s="106" t="str">
        <x:v>中2</x:v>
      </x:c>
      <x:c r="D556" s="106" t="str">
        <x:v>台風</x:v>
      </x:c>
      <x:c r="E556" s="106" t="str">
        <x:v>読図</x:v>
      </x:c>
      <x:c r="F556" s="106" t="str">
        <x:v>B</x:v>
      </x:c>
      <x:c r="G556" s="106" t="str"/>
      <x:c r="H556" s="18" t="str">
        <x:v>台風の風と進路</x:v>
      </x:c>
      <x:c r="I556" s="18" t="str">
        <x:v>北半球では中心へ反時計回りに強風が吹き込む。日本付近では太平洋高気圧の縁や偏西風の影響を受け、北上後に東寄りへ進路を変え、速度を上げることが多い。つながり：反時計回り／太平洋高気圧／偏西風／進路</x:v>
      </x:c>
      <x:c r="J556" s="18" t="str">
        <x:v>反時計回り／太平洋高気圧／偏西風／進路</x:v>
      </x:c>
    </x:row>
    <x:row r="557" ht="62" customHeight="1">
      <x:c r="A557" s="106" t="str">
        <x:v>EAR-125</x:v>
      </x:c>
      <x:c r="B557" s="106" t="str">
        <x:v>地学</x:v>
      </x:c>
      <x:c r="C557" s="106" t="str">
        <x:v>中2</x:v>
      </x:c>
      <x:c r="D557" s="106" t="str">
        <x:v>気象情報</x:v>
      </x:c>
      <x:c r="E557" s="106" t="str">
        <x:v>比較</x:v>
      </x:c>
      <x:c r="F557" s="106" t="str">
        <x:v>A</x:v>
      </x:c>
      <x:c r="G557" s="106" t="str"/>
      <x:c r="H557" s="18" t="str">
        <x:v>気象衛星（えいせい）画像とレーダー</x:v>
      </x:c>
      <x:c r="I557" s="18" t="str">
        <x:v>衛星（えいせい）画像は広域の雲の分布・動きを捉え、気象レーダーは雨や雪の位置・強さ・移動を詳しく捉える。衛星の白い部分がすべて降水域とは限らない。つながり：気象衛星／気象レーダー／雲／降水</x:v>
      </x:c>
      <x:c r="J557" s="18" t="str">
        <x:v>気象衛星／気象レーダー／雲／降水</x:v>
      </x:c>
    </x:row>
    <x:row r="558" ht="62" customHeight="1">
      <x:c r="A558" s="106" t="str">
        <x:v>EAR-126</x:v>
      </x:c>
      <x:c r="B558" s="106" t="str">
        <x:v>地学</x:v>
      </x:c>
      <x:c r="C558" s="106" t="str">
        <x:v>中2</x:v>
      </x:c>
      <x:c r="D558" s="106" t="str">
        <x:v>気象情報</x:v>
      </x:c>
      <x:c r="E558" s="106" t="str">
        <x:v>読図</x:v>
      </x:c>
      <x:c r="F558" s="106" t="str">
        <x:v>A</x:v>
      </x:c>
      <x:c r="G558" s="106" t="str"/>
      <x:c r="H558" s="18" t="str">
        <x:v>天気記号の読み方</x:v>
      </x:c>
      <x:c r="I558" s="18" t="str">
        <x:v>観測点記号では中心の天気、羽根の向きで風向、羽根の数などで風力を表す。風向は矢が進む向きでなく、棒が伸びる側から吹いてくる風として読む。凡例を確認する。つながり：天気記号／風向／風力／観測点</x:v>
      </x:c>
      <x:c r="J558" s="18" t="str">
        <x:v>天気記号／風向／風力／観測点</x:v>
      </x:c>
    </x:row>
    <x:row r="559" ht="62" customHeight="1">
      <x:c r="A559" s="106" t="str">
        <x:v>EAR-127</x:v>
      </x:c>
      <x:c r="B559" s="106" t="str">
        <x:v>地学</x:v>
      </x:c>
      <x:c r="C559" s="106" t="str">
        <x:v>中2</x:v>
      </x:c>
      <x:c r="D559" s="106" t="str">
        <x:v>気象情報</x:v>
      </x:c>
      <x:c r="E559" s="106" t="str">
        <x:v>誤解対策</x:v>
      </x:c>
      <x:c r="F559" s="106" t="str">
        <x:v>B</x:v>
      </x:c>
      <x:c r="G559" s="106" t="str"/>
      <x:c r="H559" s="18" t="str">
        <x:v>降水確率の意味</x:v>
      </x:c>
      <x:c r="I559" s="18" t="str">
        <x:v>予報区内で一定時間内に1 mm以上の雨または雪が降る確率の平均値で、0、10、…、100%の10%刻みで発表される。30%予報を同じ条件で100回出せば約30回で1 mm以上となる意味で、雨の強さ・量・継続時間や区域の30%に降ることを示さない。つながり：天気予報／降水量／確率／予報区</x:v>
      </x:c>
      <x:c r="J559" s="18" t="str">
        <x:v>天気予報／降水量／確率／予報区</x:v>
      </x:c>
    </x:row>
    <x:row r="560" ht="62" customHeight="1">
      <x:c r="A560" s="106" t="str">
        <x:v>EAR-128</x:v>
      </x:c>
      <x:c r="B560" s="106" t="str">
        <x:v>地学</x:v>
      </x:c>
      <x:c r="C560" s="106" t="str">
        <x:v>中2</x:v>
      </x:c>
      <x:c r="D560" s="106" t="str">
        <x:v>気象災害</x:v>
      </x:c>
      <x:c r="E560" s="106" t="str">
        <x:v>用語</x:v>
      </x:c>
      <x:c r="F560" s="106" t="str">
        <x:v>B</x:v>
      </x:c>
      <x:c r="G560" s="106" t="str"/>
      <x:c r="H560" s="18" t="str">
        <x:v>線状降水帯</x:v>
      </x:c>
      <x:c r="I560" s="18" t="str">
        <x:v>発達した積乱雲が次々に同じ場所を通過・発生して線状に連なり、長時間の大雨をもたらす現象。河川氾濫や土砂災害の危険が急増するため、早めの避難判断が必要。つながり：積乱雲／集中豪雨／洪水／土砂災害</x:v>
      </x:c>
      <x:c r="J560" s="18" t="str">
        <x:v>積乱雲／集中豪雨／洪水／土砂災害</x:v>
      </x:c>
    </x:row>
    <x:row r="561" ht="62" customHeight="1">
      <x:c r="A561" s="106" t="str">
        <x:v>EAR-129</x:v>
      </x:c>
      <x:c r="B561" s="106" t="str">
        <x:v>地学</x:v>
      </x:c>
      <x:c r="C561" s="106" t="str">
        <x:v>中2</x:v>
      </x:c>
      <x:c r="D561" s="106" t="str">
        <x:v>気象災害</x:v>
      </x:c>
      <x:c r="E561" s="106" t="str">
        <x:v>用語</x:v>
      </x:c>
      <x:c r="F561" s="106" t="str">
        <x:v>B</x:v>
      </x:c>
      <x:c r="G561" s="106" t="str"/>
      <x:c r="H561" s="18" t="str">
        <x:v>土砂災害の前兆と避難</x:v>
      </x:c>
      <x:c r="I561" s="18" t="str">
        <x:v>崖の亀裂、小石が落ちる、湧水の濁り、地鳴りなどは前兆になりうるが、前兆なしでも発生する。警戒区域・雨量・警報を確認し、危険な斜面や谷から早く離れる。つながり：土石流／崖崩れ／地すべり／大雨警報</x:v>
      </x:c>
      <x:c r="J561" s="18" t="str">
        <x:v>土石流／崖崩れ／地すべり／大雨警報</x:v>
      </x:c>
    </x:row>
    <x:row r="562" ht="62" customHeight="1">
      <x:c r="A562" s="106" t="str">
        <x:v>EAR-130</x:v>
      </x:c>
      <x:c r="B562" s="106" t="str">
        <x:v>地学</x:v>
      </x:c>
      <x:c r="C562" s="106" t="str">
        <x:v>中2</x:v>
      </x:c>
      <x:c r="D562" s="106" t="str">
        <x:v>気象データ</x:v>
      </x:c>
      <x:c r="E562" s="106" t="str">
        <x:v>読図</x:v>
      </x:c>
      <x:c r="F562" s="106" t="str">
        <x:v>A</x:v>
      </x:c>
      <x:c r="G562" s="106" t="str"/>
      <x:c r="H562" s="18" t="str">
        <x:v>気温・湿度の日変化</x:v>
      </x:c>
      <x:c r="I562" s="18" t="str">
        <x:v>晴天日は日射で地面が暖まるため気温は正午より遅い14時ごろ最高、日の出前ごろ最低になりやすい。水蒸気量がほぼ同じなら、湿度は気温と逆向きに変化しやすい。つながり：日射／最高気温／飽和水蒸気量（ほうわすいじょうきりょう）／相対湿度</x:v>
      </x:c>
      <x:c r="J562" s="18" t="str">
        <x:v>日射／最高気温／飽和水蒸気量ほうわすいじょうきりょう&lt;／rt&gt;&lt;／ruby&gt;／相対湿度</x:v>
      </x:c>
    </x:row>
    <x:row r="563" ht="62" customHeight="1">
      <x:c r="A563" s="106" t="str">
        <x:v>EAR-169</x:v>
      </x:c>
      <x:c r="B563" s="106" t="str">
        <x:v>地学</x:v>
      </x:c>
      <x:c r="C563" s="106" t="str">
        <x:v>中2</x:v>
      </x:c>
      <x:c r="D563" s="106" t="str">
        <x:v>湿度</x:v>
      </x:c>
      <x:c r="E563" s="106" t="str">
        <x:v>実験</x:v>
      </x:c>
      <x:c r="F563" s="106" t="str">
        <x:v>A</x:v>
      </x:c>
      <x:c r="G563" s="106" t="str"/>
      <x:c r="H563" s="18" t="str">
        <x:v>露点（ろてん）を測る金属容器の実験</x:v>
      </x:c>
      <x:c r="I563" s="18" t="str">
        <x:v>磨いた金属容器に水と温度計を入れ、かき混ぜながら氷水を少しずつ加える。容器の外側が曇り始めた瞬間の水温を、その空気の露点（ろてん）とみなす。金属は熱を伝えやすく、容器表面と中の水の温度がほぼ等しくなることを利用する。つながり：露点／凝結（ぎょうけつ）／水蒸気／湿度</x:v>
      </x:c>
      <x:c r="J563" s="18" t="str">
        <x:v>露点／凝結ぎょうけつ&lt;／rt&gt;&lt;／ruby&gt;／水蒸気／湿度</x:v>
      </x:c>
    </x:row>
    <x:row r="564" ht="62" customHeight="1">
      <x:c r="A564" s="106" t="str">
        <x:v>EAR-170</x:v>
      </x:c>
      <x:c r="B564" s="106" t="str">
        <x:v>地学</x:v>
      </x:c>
      <x:c r="C564" s="106" t="str">
        <x:v>中2</x:v>
      </x:c>
      <x:c r="D564" s="106" t="str">
        <x:v>湿度</x:v>
      </x:c>
      <x:c r="E564" s="106" t="str">
        <x:v>誤解対策</x:v>
      </x:c>
      <x:c r="F564" s="106" t="str">
        <x:v>A</x:v>
      </x:c>
      <x:c r="G564" s="106" t="str"/>
      <x:c r="H564" s="18" t="str">
        <x:v>冷えた容器の外側に付く水滴</x:v>
      </x:c>
      <x:c r="I564" s="18" t="str">
        <x:v>周囲の空気が容器表面で露点（ろてん）以下に冷え、空気中の水蒸気が凝結（ぎょうけつ）してできたもの。容器内の水が壁を染み出したのではない。外面を事前に乾かし、冷やさない対照と比べると由来を確かめやすい。つながり：水蒸気／露点／凝結／対照実験（たいしょうじっけん）</x:v>
      </x:c>
      <x:c r="J564" s="18" t="str">
        <x:v>水蒸気／露点／凝結／対照実験たいしょうじっけん&lt;／rt&gt;&lt;／ruby&gt;</x:v>
      </x:c>
    </x:row>
    <x:row r="565" ht="62" customHeight="1">
      <x:c r="A565" s="106" t="str">
        <x:v>EAR-171</x:v>
      </x:c>
      <x:c r="B565" s="106" t="str">
        <x:v>地学</x:v>
      </x:c>
      <x:c r="C565" s="106" t="str">
        <x:v>中2</x:v>
      </x:c>
      <x:c r="D565" s="106" t="str">
        <x:v>前線</x:v>
      </x:c>
      <x:c r="E565" s="106" t="str">
        <x:v>読図</x:v>
      </x:c>
      <x:c r="F565" s="106" t="str">
        <x:v>B</x:v>
      </x:c>
      <x:c r="G565" s="106" t="str"/>
      <x:c r="H565" s="18" t="str">
        <x:v>4種類の前線（ぜんせん）記号と進行方向</x:v>
      </x:c>
      <x:c r="I565" s="18" t="str">
        <x:v>前線（ぜんせん）｜記号｜進行方向｜
温暖｜半円｜半円が向く側｜
寒冷｜三角｜三角が向く側｜
停滞｜半円と三角が反対側｜動きが小さく、一方向を示さない｜
閉塞｜半円と三角が同じ側｜記号が向く側｜
白黒図では色でなく形と記号の側を読む。つながり：温暖前線（おんだんぜんせん）／寒冷前線（かんれいぜんせん）／停滞前線（ていたいぜんせん）／閉塞前線（へいそくぜんせん）</x:v>
      </x:c>
      <x:c r="J565" s="18" t="str">
        <x:v>温暖前線おんだんぜんせん&lt;／rt&gt;&lt;／ruby&gt;／寒冷前線かんれいぜんせん&lt;／rt&gt;&lt;／ruby&gt;／停滞前線ていたいぜんせん&lt;／rt&gt;&lt;／ruby&gt;／閉塞前線へいそくぜんせん&lt;／rt&gt;&lt;／ruby&gt;</x:v>
      </x:c>
    </x:row>
    <x:row r="566" ht="62" customHeight="1">
      <x:c r="A566" s="106" t="str">
        <x:v>EAR-172</x:v>
      </x:c>
      <x:c r="B566" s="106" t="str">
        <x:v>地学</x:v>
      </x:c>
      <x:c r="C566" s="106" t="str">
        <x:v>中2</x:v>
      </x:c>
      <x:c r="D566" s="106" t="str">
        <x:v>湿度</x:v>
      </x:c>
      <x:c r="E566" s="106" t="str">
        <x:v>読図</x:v>
      </x:c>
      <x:c r="F566" s="106" t="str">
        <x:v>A</x:v>
      </x:c>
      <x:c r="G566" s="106" t="str"/>
      <x:c r="H566" s="18" t="str">
        <x:v>乾湿計の湿度表の読み方</x:v>
      </x:c>
      <x:c r="I566" s="18" t="str">
        <x:v>①乾球温度と湿球温度を読む、②乾球温度−湿球温度を求める、③湿度表の乾球温度の行と温度差の列の交点を読む。例として乾球20℃・湿球16℃なら温度差4℃の欄を使う。表によって行列が逆の場合は見出しを確認し、両温度が同じなら湿度は100%である。つながり：乾球温度／湿球温度／温度差／相対湿度</x:v>
      </x:c>
      <x:c r="J566" s="18" t="str">
        <x:v>乾球温度／湿球温度／温度差／相対湿度</x:v>
      </x:c>
    </x:row>
    <x:row r="567" ht="62" customHeight="1">
      <x:c r="A567" s="106" t="str">
        <x:v>INQ-057</x:v>
      </x:c>
      <x:c r="B567" s="106" t="str">
        <x:v>探究</x:v>
      </x:c>
      <x:c r="C567" s="106" t="str">
        <x:v>中3</x:v>
      </x:c>
      <x:c r="D567" s="106" t="str">
        <x:v>表とグラフ</x:v>
      </x:c>
      <x:c r="E567" s="106" t="str">
        <x:v>用語</x:v>
      </x:c>
      <x:c r="F567" s="106" t="str">
        <x:v>A</x:v>
      </x:c>
      <x:c r="G567" s="106" t="str"/>
      <x:c r="H567" s="18" t="str">
        <x:v>測定範囲の外を予測すること</x:v>
      </x:c>
      <x:c r="I567" s="18" t="str">
        <x:v>既知データの外側へ傾向を延ばして見積もることを外挿（がいそう）という。範囲外では法則や状態が変わる可能性があり、内挿（ないそう）より不確かさが大きい。つながり：外挿／内挿／不確かさ／適用範囲</x:v>
      </x:c>
      <x:c r="J567" s="18" t="str">
        <x:v>外挿／内挿／不確かさ／適用範囲</x:v>
      </x:c>
    </x:row>
    <x:row r="568" ht="62" customHeight="1">
      <x:c r="A568" s="106" t="str">
        <x:v>INQ-094</x:v>
      </x:c>
      <x:c r="B568" s="106" t="str">
        <x:v>探究</x:v>
      </x:c>
      <x:c r="C568" s="106" t="str">
        <x:v>中3</x:v>
      </x:c>
      <x:c r="D568" s="106" t="str">
        <x:v>資料読解</x:v>
      </x:c>
      <x:c r="E568" s="106" t="str">
        <x:v>用語</x:v>
      </x:c>
      <x:c r="F568" s="106" t="str">
        <x:v>B</x:v>
      </x:c>
      <x:c r="G568" s="106" t="str"/>
      <x:c r="H568" s="18" t="str">
        <x:v>見かけの関係をつくる第三の要因</x:v>
      </x:c>
      <x:c r="I568" s="18" t="str">
        <x:v>二量の両方へ影響し、関係があるように見せる要因を交絡要因（こうらくよういん）という。気温が上がると飲料販売と水難事故が共に増えても、販売が事故の原因とは限らない。つながり：交絡要因／相関／因果／条件制御</x:v>
      </x:c>
      <x:c r="J568" s="18" t="str">
        <x:v>交絡要因／相関／因果／条件制御</x:v>
      </x:c>
    </x:row>
    <x:row r="569" ht="62" customHeight="1">
      <x:c r="A569" s="106" t="str">
        <x:v>INQ-096</x:v>
      </x:c>
      <x:c r="B569" s="106" t="str">
        <x:v>探究</x:v>
      </x:c>
      <x:c r="C569" s="106" t="str">
        <x:v>中3</x:v>
      </x:c>
      <x:c r="D569" s="106" t="str">
        <x:v>資料読解</x:v>
      </x:c>
      <x:c r="E569" s="106" t="str">
        <x:v>誤解対策</x:v>
      </x:c>
      <x:c r="F569" s="106" t="str">
        <x:v>A</x:v>
      </x:c>
      <x:c r="G569" s="106" t="str"/>
      <x:c r="H569" s="18" t="str">
        <x:v>模型から言えることの限界</x:v>
      </x:c>
      <x:c r="I569" s="18" t="str">
        <x:v>模型は注目する構造・関係を単純化して表す。粒子の色や天体間距離など、説明のために変えた部分を現実そのものと思わず、何を表し何を省いたか明示する。つながり：模型／単純化／粒子モデル／天体モデル</x:v>
      </x:c>
      <x:c r="J569" s="18" t="str">
        <x:v>模型／単純化／粒子モデル／天体モデル</x:v>
      </x:c>
    </x:row>
    <x:row r="570" ht="62" customHeight="1">
      <x:c r="A570" s="106" t="str">
        <x:v>PHY-056</x:v>
      </x:c>
      <x:c r="B570" s="106" t="str">
        <x:v>物理</x:v>
      </x:c>
      <x:c r="C570" s="106" t="str">
        <x:v>中3</x:v>
      </x:c>
      <x:c r="D570" s="106" t="str">
        <x:v>熱</x:v>
      </x:c>
      <x:c r="E570" s="106" t="str">
        <x:v>用語</x:v>
      </x:c>
      <x:c r="F570" s="106" t="str">
        <x:v>A</x:v>
      </x:c>
      <x:c r="G570" s="106" t="str"/>
      <x:c r="H570" s="18" t="str">
        <x:v>熱の伝わり方</x:v>
      </x:c>
      <x:c r="I570" s="18" t="str">
        <x:v>熱は高温の物体から低温の物体へ移り、温度差を小さくする。伝わり方には伝導・対流・放射があり、同時に起こることもある。つながり：熱伝導／対流／放射</x:v>
      </x:c>
      <x:c r="J570" s="18" t="str">
        <x:v>熱伝導／対流／放射</x:v>
      </x:c>
    </x:row>
    <x:row r="571" ht="62" customHeight="1">
      <x:c r="A571" s="106" t="str">
        <x:v>PHY-059</x:v>
      </x:c>
      <x:c r="B571" s="106" t="str">
        <x:v>物理</x:v>
      </x:c>
      <x:c r="C571" s="106" t="str">
        <x:v>中3</x:v>
      </x:c>
      <x:c r="D571" s="106" t="str">
        <x:v>熱</x:v>
      </x:c>
      <x:c r="E571" s="106" t="str">
        <x:v>用語</x:v>
      </x:c>
      <x:c r="F571" s="106" t="str">
        <x:v>B</x:v>
      </x:c>
      <x:c r="G571" s="106" t="str"/>
      <x:c r="H571" s="18" t="str">
        <x:v>熱放射</x:v>
      </x:c>
      <x:c r="I571" s="18" t="str">
        <x:v>赤外線などの電磁波で熱が伝わる現象。物質がない真空中でも伝わるため、太陽の熱が地球へ届く。黒くつやのない面は放射を吸収・放出しやすい。つながり：赤外線／真空／太陽</x:v>
      </x:c>
      <x:c r="J571" s="18" t="str">
        <x:v>赤外線／真空／太陽</x:v>
      </x:c>
    </x:row>
    <x:row r="572" ht="62" customHeight="1">
      <x:c r="A572" s="106" t="str">
        <x:v>PHY-060</x:v>
      </x:c>
      <x:c r="B572" s="106" t="str">
        <x:v>物理</x:v>
      </x:c>
      <x:c r="C572" s="106" t="str">
        <x:v>中3</x:v>
      </x:c>
      <x:c r="D572" s="106" t="str">
        <x:v>熱</x:v>
      </x:c>
      <x:c r="E572" s="106" t="str">
        <x:v>因果</x:v>
      </x:c>
      <x:c r="F572" s="106" t="str">
        <x:v>B</x:v>
      </x:c>
      <x:c r="G572" s="106" t="str"/>
      <x:c r="H572" s="18" t="str">
        <x:v>断熱</x:v>
      </x:c>
      <x:c r="I572" s="18" t="str">
        <x:v>熱の移動を小さくすること。空気は熱を伝えにくいため、発泡材や二重窓、衣服の空気層が役立つ。魔法瓶は伝導・対流・放射をそれぞれ抑える。つながり：熱伝導／対流／放射</x:v>
      </x:c>
      <x:c r="J572" s="18" t="str">
        <x:v>熱伝導／対流／放射</x:v>
      </x:c>
    </x:row>
    <x:row r="573" ht="62" customHeight="1">
      <x:c r="A573" s="106" t="str">
        <x:v>PHY-072</x:v>
      </x:c>
      <x:c r="B573" s="106" t="str">
        <x:v>物理</x:v>
      </x:c>
      <x:c r="C573" s="106" t="str">
        <x:v>中3</x:v>
      </x:c>
      <x:c r="D573" s="106" t="str">
        <x:v>力</x:v>
      </x:c>
      <x:c r="E573" s="106" t="str">
        <x:v>計算</x:v>
      </x:c>
      <x:c r="F573" s="106" t="str">
        <x:v>A</x:v>
      </x:c>
      <x:c r="G573" s="106" t="str"/>
      <x:c r="H573" s="18" t="str">
        <x:v>合力</x:v>
      </x:c>
      <x:c r="I573" s="18" t="str">
        <x:v>複数の力と同じはたらきをする1つの力。同じ向きなら足し、反対向きなら大きい方から小さい方を引く。合力が0なら力はつり合う。つながり：力の合成／つり合い／分力</x:v>
      </x:c>
      <x:c r="J573" s="18" t="str">
        <x:v>力の合成／つり合い／分力</x:v>
      </x:c>
    </x:row>
    <x:row r="574" ht="62" customHeight="1">
      <x:c r="A574" s="106" t="str">
        <x:v>PHY-073</x:v>
      </x:c>
      <x:c r="B574" s="106" t="str">
        <x:v>物理</x:v>
      </x:c>
      <x:c r="C574" s="106" t="str">
        <x:v>中3</x:v>
      </x:c>
      <x:c r="D574" s="106" t="str">
        <x:v>力</x:v>
      </x:c>
      <x:c r="E574" s="106" t="str">
        <x:v>読図</x:v>
      </x:c>
      <x:c r="F574" s="106" t="str">
        <x:v>B</x:v>
      </x:c>
      <x:c r="G574" s="106" t="str"/>
      <x:c r="H574" s="18" t="str">
        <x:v>平行四辺形による力の合成</x:v>
      </x:c>
      <x:c r="I574" s="18" t="str">
        <x:v>同じ作用点（さようてん）の2力を隣り合う辺とする平行四辺形を作り、作用点から引いた対角線が合力。直角な2力なら、合力の大きさは三平方の関係で求められる場合がある。つながり：合力／ベクトル／分力</x:v>
      </x:c>
      <x:c r="J574" s="18" t="str">
        <x:v>合力／ベクトル／分力</x:v>
      </x:c>
    </x:row>
    <x:row r="575" ht="62" customHeight="1">
      <x:c r="A575" s="106" t="str">
        <x:v>PHY-074</x:v>
      </x:c>
      <x:c r="B575" s="106" t="str">
        <x:v>物理</x:v>
      </x:c>
      <x:c r="C575" s="106" t="str">
        <x:v>中3</x:v>
      </x:c>
      <x:c r="D575" s="106" t="str">
        <x:v>力</x:v>
      </x:c>
      <x:c r="E575" s="106" t="str">
        <x:v>用語</x:v>
      </x:c>
      <x:c r="F575" s="106" t="str">
        <x:v>B</x:v>
      </x:c>
      <x:c r="G575" s="106" t="str"/>
      <x:c r="H575" s="18" t="str">
        <x:v>分力</x:v>
      </x:c>
      <x:c r="I575" s="18" t="str">
        <x:v>1つの力を、同じはたらきをする複数の方向の力に分けたもの。元の力を対角線とする平行四辺形の辺が分力。斜面上の重力を斜面方向と垂直方向へ分けるなどに使う。つながり：力の分解／合力／斜面</x:v>
      </x:c>
      <x:c r="J575" s="18" t="str">
        <x:v>力の分解／合力／斜面</x:v>
      </x:c>
    </x:row>
    <x:row r="576" ht="62" customHeight="1">
      <x:c r="A576" s="106" t="str">
        <x:v>PHY-079</x:v>
      </x:c>
      <x:c r="B576" s="106" t="str">
        <x:v>物理</x:v>
      </x:c>
      <x:c r="C576" s="106" t="str">
        <x:v>中3</x:v>
      </x:c>
      <x:c r="D576" s="106" t="str">
        <x:v>力</x:v>
      </x:c>
      <x:c r="E576" s="106" t="str">
        <x:v>比較</x:v>
      </x:c>
      <x:c r="F576" s="106" t="str">
        <x:v>B</x:v>
      </x:c>
      <x:c r="G576" s="106" t="str"/>
      <x:c r="H576" s="18" t="str">
        <x:v>定滑車</x:v>
      </x:c>
      <x:c r="I576" s="18" t="str">
        <x:v>軸が固定された滑車。力を加える向きを変えられるが、摩擦を無視すると必要な力の大きさも引く距離も変わらない。天井側を支点（してん）と混同しない。つながり：動滑車／仕事の原理／張力</x:v>
      </x:c>
      <x:c r="J576" s="18" t="str">
        <x:v>動滑車／仕事の原理／張力</x:v>
      </x:c>
    </x:row>
    <x:row r="577" ht="62" customHeight="1">
      <x:c r="A577" s="106" t="str">
        <x:v>PHY-080</x:v>
      </x:c>
      <x:c r="B577" s="106" t="str">
        <x:v>物理</x:v>
      </x:c>
      <x:c r="C577" s="106" t="str">
        <x:v>中3</x:v>
      </x:c>
      <x:c r="D577" s="106" t="str">
        <x:v>力</x:v>
      </x:c>
      <x:c r="E577" s="106" t="str">
        <x:v>計算</x:v>
      </x:c>
      <x:c r="F577" s="106" t="str">
        <x:v>A</x:v>
      </x:c>
      <x:c r="G577" s="106" t="str"/>
      <x:c r="H577" s="18" t="str">
        <x:v>動滑車</x:v>
      </x:c>
      <x:c r="I577" s="18" t="str">
        <x:v>滑車自体が荷物とともに動く。1個を2本のロープで支える理想条件では必要な力は重さの1/2になるが、引く距離は荷物の上昇距離の2倍。滑車の重さを含む問題に注意。つながり：定滑車／仕事の原理／張力</x:v>
      </x:c>
      <x:c r="J577" s="18" t="str">
        <x:v>定滑車／仕事の原理／張力</x:v>
      </x:c>
    </x:row>
    <x:row r="578" ht="62" customHeight="1">
      <x:c r="A578" s="106" t="str">
        <x:v>PHY-081</x:v>
      </x:c>
      <x:c r="B578" s="106" t="str">
        <x:v>物理</x:v>
      </x:c>
      <x:c r="C578" s="106" t="str">
        <x:v>中3</x:v>
      </x:c>
      <x:c r="D578" s="106" t="str">
        <x:v>力</x:v>
      </x:c>
      <x:c r="E578" s="106" t="str">
        <x:v>因果</x:v>
      </x:c>
      <x:c r="F578" s="106" t="str">
        <x:v>A</x:v>
      </x:c>
      <x:c r="G578" s="106" t="str"/>
      <x:c r="H578" s="18" t="str">
        <x:v>斜面（しゃめん）と仕事</x:v>
      </x:c>
      <x:c r="I578" s="18" t="str">
        <x:v>摩擦を無視すると、斜面を使えば物体を持ち上げる力は小さくなるが、移動距離は長くなる。斜面に沿ってした仕事は、鉛直に持ち上げた仕事と等しい。つながり：仕事の原理／位置エネルギー／分力</x:v>
      </x:c>
      <x:c r="J578" s="18" t="str">
        <x:v>仕事の原理／位置エネルギー／分力</x:v>
      </x:c>
    </x:row>
    <x:row r="579" ht="62" customHeight="1">
      <x:c r="A579" s="106" t="str">
        <x:v>PHY-137</x:v>
      </x:c>
      <x:c r="B579" s="106" t="str">
        <x:v>物理</x:v>
      </x:c>
      <x:c r="C579" s="106" t="str">
        <x:v>中3</x:v>
      </x:c>
      <x:c r="D579" s="106" t="str">
        <x:v>運動</x:v>
      </x:c>
      <x:c r="E579" s="106" t="str">
        <x:v>誤解対策</x:v>
      </x:c>
      <x:c r="F579" s="106" t="str">
        <x:v>B</x:v>
      </x:c>
      <x:c r="G579" s="106" t="str"/>
      <x:c r="H579" s="18" t="str">
        <x:v>運動の基準点</x:v>
      </x:c>
      <x:c r="I579" s="18" t="str">
        <x:v>物体が動いているかどうかは、どの物体を基準にするかで変わる。電車内で座る人は車内には静止、地面には運動している。位置は基準点からの向きと距離で表す。つながり：相対運動／位置／速度</x:v>
      </x:c>
      <x:c r="J579" s="18" t="str">
        <x:v>相対運動／位置／速度</x:v>
      </x:c>
    </x:row>
    <x:row r="580" ht="62" customHeight="1">
      <x:c r="A580" s="106" t="str">
        <x:v>PHY-138</x:v>
      </x:c>
      <x:c r="B580" s="106" t="str">
        <x:v>物理</x:v>
      </x:c>
      <x:c r="C580" s="106" t="str">
        <x:v>中3</x:v>
      </x:c>
      <x:c r="D580" s="106" t="str">
        <x:v>運動</x:v>
      </x:c>
      <x:c r="E580" s="106" t="str">
        <x:v>計算</x:v>
      </x:c>
      <x:c r="F580" s="106" t="str">
        <x:v>A</x:v>
      </x:c>
      <x:c r="G580" s="106" t="n">
        <x:v>113</x:v>
      </x:c>
      <x:c r="H580" s="18" t="str">
        <x:v>速さ</x:v>
      </x:c>
      <x:c r="I580" s="18" t="str">
        <x:v>単位時間あたりに進む距離。速さ＝距離÷時間、距離＝速さ×時間、時間＝距離÷速さ。向きを含む速度とは異なるが、中学では速さを中心に扱う。つながり：距離／時間／平均の速さ</x:v>
      </x:c>
      <x:c r="J580" s="18" t="str">
        <x:v>距離／時間／平均の速さ</x:v>
      </x:c>
    </x:row>
    <x:row r="581" ht="62" customHeight="1">
      <x:c r="A581" s="106" t="str">
        <x:v>PHY-139</x:v>
      </x:c>
      <x:c r="B581" s="106" t="str">
        <x:v>物理</x:v>
      </x:c>
      <x:c r="C581" s="106" t="str">
        <x:v>中3</x:v>
      </x:c>
      <x:c r="D581" s="106" t="str">
        <x:v>運動</x:v>
      </x:c>
      <x:c r="E581" s="106" t="str">
        <x:v>計算</x:v>
      </x:c>
      <x:c r="F581" s="106" t="str">
        <x:v>A</x:v>
      </x:c>
      <x:c r="G581" s="106" t="str"/>
      <x:c r="H581" s="18" t="str">
        <x:v>m/sとkm/hの変換</x:v>
      </x:c>
      <x:c r="I581" s="18" t="str">
        <x:v>1 m/s＝3.6 km/h。m/sからkm/hへは×3.6、km/hからm/sへは÷3.6。距離と時間の単位を式へ入れる前にそろえる。つながり：速さ／単位換算／距離</x:v>
      </x:c>
      <x:c r="J581" s="18" t="str">
        <x:v>速さ／単位換算／距離</x:v>
      </x:c>
    </x:row>
    <x:row r="582" ht="62" customHeight="1">
      <x:c r="A582" s="106" t="str">
        <x:v>PHY-140</x:v>
      </x:c>
      <x:c r="B582" s="106" t="str">
        <x:v>物理</x:v>
      </x:c>
      <x:c r="C582" s="106" t="str">
        <x:v>中3</x:v>
      </x:c>
      <x:c r="D582" s="106" t="str">
        <x:v>運動</x:v>
      </x:c>
      <x:c r="E582" s="106" t="str">
        <x:v>計算</x:v>
      </x:c>
      <x:c r="F582" s="106" t="str">
        <x:v>A</x:v>
      </x:c>
      <x:c r="G582" s="106" t="str"/>
      <x:c r="H582" s="18" t="str">
        <x:v>平均の速さ</x:v>
      </x:c>
      <x:c r="I582" s="18" t="str">
        <x:v>移動した全距離÷かかった全時間。区間ごとの速さを単純平均してよいのは各区間の時間が等しい場合などに限る。停止時間を含むなら全時間に含める。つながり：速さ／全距離／瞬間の速さ</x:v>
      </x:c>
      <x:c r="J582" s="18" t="str">
        <x:v>速さ／全距離／瞬間の速さ</x:v>
      </x:c>
    </x:row>
    <x:row r="583" ht="62" customHeight="1">
      <x:c r="A583" s="106" t="str">
        <x:v>PHY-141</x:v>
      </x:c>
      <x:c r="B583" s="106" t="str">
        <x:v>物理</x:v>
      </x:c>
      <x:c r="C583" s="106" t="str">
        <x:v>中3</x:v>
      </x:c>
      <x:c r="D583" s="106" t="str">
        <x:v>運動</x:v>
      </x:c>
      <x:c r="E583" s="106" t="str">
        <x:v>用語</x:v>
      </x:c>
      <x:c r="F583" s="106" t="str">
        <x:v>B</x:v>
      </x:c>
      <x:c r="G583" s="106" t="str"/>
      <x:c r="H583" s="18" t="str">
        <x:v>瞬間の速さ</x:v>
      </x:c>
      <x:c r="I583" s="18" t="str">
        <x:v>ごく短い時間で見た速さ。自動車の速度計が示す値に相当する。記録タイマーでは短い時間間隔の移動距離から近似し、平均の速さと区別する。つながり：平均の速さ／記録タイマー／加速</x:v>
      </x:c>
      <x:c r="J583" s="18" t="str">
        <x:v>平均の速さ／記録タイマー／加速</x:v>
      </x:c>
    </x:row>
    <x:row r="584" ht="62" customHeight="1">
      <x:c r="A584" s="106" t="str">
        <x:v>PHY-142</x:v>
      </x:c>
      <x:c r="B584" s="106" t="str">
        <x:v>物理</x:v>
      </x:c>
      <x:c r="C584" s="106" t="str">
        <x:v>中3</x:v>
      </x:c>
      <x:c r="D584" s="106" t="str">
        <x:v>運動</x:v>
      </x:c>
      <x:c r="E584" s="106" t="str">
        <x:v>実験</x:v>
      </x:c>
      <x:c r="F584" s="106" t="str">
        <x:v>A</x:v>
      </x:c>
      <x:c r="G584" s="106" t="str"/>
      <x:c r="H584" s="18" t="str">
        <x:v>記録タイマー</x:v>
      </x:c>
      <x:c r="I584" s="18" t="str">
        <x:v>一定時間ごとにテープへ点を打つ。50 Hzなら1区間0.02秒で5区間（両端を含む点6個）、60 Hzなら6区間（点7個）が0.1秒。点の個数と点の間の区間数を混同しない。つながり：打点間隔／速さ／周波数</x:v>
      </x:c>
      <x:c r="J584" s="18" t="str">
        <x:v>打点間隔／速さ／周波数</x:v>
      </x:c>
    </x:row>
    <x:row r="585" ht="62" customHeight="1">
      <x:c r="A585" s="106" t="str">
        <x:v>PHY-143</x:v>
      </x:c>
      <x:c r="B585" s="106" t="str">
        <x:v>物理</x:v>
      </x:c>
      <x:c r="C585" s="106" t="str">
        <x:v>中3</x:v>
      </x:c>
      <x:c r="D585" s="106" t="str">
        <x:v>運動</x:v>
      </x:c>
      <x:c r="E585" s="106" t="str">
        <x:v>読図</x:v>
      </x:c>
      <x:c r="F585" s="106" t="str">
        <x:v>A</x:v>
      </x:c>
      <x:c r="G585" s="106" t="str"/>
      <x:c r="H585" s="18" t="str">
        <x:v>記録テープの読み方</x:v>
      </x:c>
      <x:c r="I585" s="18" t="str">
        <x:v>同じ時間区間ごとのテープ片が長いほど速い。片の長さが一定なら等速、一定ずつ増えるなら速さが一定の割合で増えている。点の個数ではなく区間数で時間を数える。つながり：等速直線運動／加速／記録タイマー</x:v>
      </x:c>
      <x:c r="J585" s="18" t="str">
        <x:v>等速直線運動／加速／記録タイマー</x:v>
      </x:c>
    </x:row>
    <x:row r="586" ht="62" customHeight="1">
      <x:c r="A586" s="106" t="str">
        <x:v>PHY-144</x:v>
      </x:c>
      <x:c r="B586" s="106" t="str">
        <x:v>物理</x:v>
      </x:c>
      <x:c r="C586" s="106" t="str">
        <x:v>中3</x:v>
      </x:c>
      <x:c r="D586" s="106" t="str">
        <x:v>運動</x:v>
      </x:c>
      <x:c r="E586" s="106" t="str">
        <x:v>読図</x:v>
      </x:c>
      <x:c r="F586" s="106" t="str">
        <x:v>A</x:v>
      </x:c>
      <x:c r="G586" s="106" t="n">
        <x:v>114</x:v>
      </x:c>
      <x:c r="H586" s="18" t="str">
        <x:v>移動距離―時間グラフ</x:v>
      </x:c>
      <x:c r="I586" s="18" t="str">
        <x:v>横軸が時間、縦軸が移動距離なら、傾きが速さを表し、急ほど速い。水平なら移動していない。位置―時間グラフでは傾きの符号が運動の向き、絶対値が速さを表すので区別する。つながり：傾き／速さ／位置</x:v>
      </x:c>
      <x:c r="J586" s="18" t="str">
        <x:v>傾き／速さ／位置</x:v>
      </x:c>
    </x:row>
    <x:row r="587" ht="62" customHeight="1">
      <x:c r="A587" s="106" t="str">
        <x:v>PHY-145</x:v>
      </x:c>
      <x:c r="B587" s="106" t="str">
        <x:v>物理</x:v>
      </x:c>
      <x:c r="C587" s="106" t="str">
        <x:v>中3</x:v>
      </x:c>
      <x:c r="D587" s="106" t="str">
        <x:v>運動</x:v>
      </x:c>
      <x:c r="E587" s="106" t="str">
        <x:v>読図</x:v>
      </x:c>
      <x:c r="F587" s="106" t="str">
        <x:v>A</x:v>
      </x:c>
      <x:c r="G587" s="106" t="str"/>
      <x:c r="H587" s="18" t="str">
        <x:v>速さ―時間グラフ</x:v>
      </x:c>
      <x:c r="I587" s="18" t="str">
        <x:v>横軸が時間、縦軸が速さ。水平線は一定の速さ、右上がりは加速、右下がりは減速。グラフと時間軸で囲む面積は進んだ距離を表す。つながり：加速／移動距離／面積</x:v>
      </x:c>
      <x:c r="J587" s="18" t="str">
        <x:v>加速／移動距離／面積</x:v>
      </x:c>
    </x:row>
    <x:row r="588" ht="62" customHeight="1">
      <x:c r="A588" s="106" t="str">
        <x:v>PHY-146</x:v>
      </x:c>
      <x:c r="B588" s="106" t="str">
        <x:v>物理</x:v>
      </x:c>
      <x:c r="C588" s="106" t="str">
        <x:v>中3</x:v>
      </x:c>
      <x:c r="D588" s="106" t="str">
        <x:v>運動</x:v>
      </x:c>
      <x:c r="E588" s="106" t="str">
        <x:v>用語</x:v>
      </x:c>
      <x:c r="F588" s="106" t="str">
        <x:v>A</x:v>
      </x:c>
      <x:c r="G588" s="106" t="str"/>
      <x:c r="H588" s="18" t="str">
        <x:v>等速直線運動</x:v>
      </x:c>
      <x:c r="I588" s="18" t="str">
        <x:v>一直線上を一定の速さで進む運動。距離―時間グラフは一定の傾きの直線、速さ―時間グラフは水平線。合力が0なら静止だけでなくこの運動も続く。つながり：慣性（かんせい）／力のつり合い／グラフ</x:v>
      </x:c>
      <x:c r="J588" s="18" t="str">
        <x:v>慣性かんせい&lt;／rt&gt;&lt;／ruby&gt;／力のつり合い／グラフ</x:v>
      </x:c>
    </x:row>
    <x:row r="589" ht="62" customHeight="1">
      <x:c r="A589" s="106" t="str">
        <x:v>PHY-147</x:v>
      </x:c>
      <x:c r="B589" s="106" t="str">
        <x:v>物理</x:v>
      </x:c>
      <x:c r="C589" s="106" t="str">
        <x:v>中3</x:v>
      </x:c>
      <x:c r="D589" s="106" t="str">
        <x:v>運動</x:v>
      </x:c>
      <x:c r="E589" s="106" t="str">
        <x:v>誤解対策</x:v>
      </x:c>
      <x:c r="F589" s="106" t="str">
        <x:v>A</x:v>
      </x:c>
      <x:c r="G589" s="106" t="str"/>
      <x:c r="H589" s="18" t="str">
        <x:v>自由落下</x:v>
      </x:c>
      <x:c r="I589" s="18" t="str">
        <x:v>空気抵抗を無視し、重力だけで落ちる運動。落下中は下向きの速さが一定の割合で増える。重い物体ほど速く落ちるのではなく、同じ場所なら加速の割合は同じ。つながり：重力／加速／空気抵抗</x:v>
      </x:c>
      <x:c r="J589" s="18" t="str">
        <x:v>重力／加速／空気抵抗</x:v>
      </x:c>
    </x:row>
    <x:row r="590" ht="62" customHeight="1">
      <x:c r="A590" s="106" t="str">
        <x:v>PHY-148</x:v>
      </x:c>
      <x:c r="B590" s="106" t="str">
        <x:v>物理</x:v>
      </x:c>
      <x:c r="C590" s="106" t="str">
        <x:v>中3</x:v>
      </x:c>
      <x:c r="D590" s="106" t="str">
        <x:v>運動</x:v>
      </x:c>
      <x:c r="E590" s="106" t="str">
        <x:v>因果</x:v>
      </x:c>
      <x:c r="F590" s="106" t="str">
        <x:v>A</x:v>
      </x:c>
      <x:c r="G590" s="106" t="str"/>
      <x:c r="H590" s="18" t="str">
        <x:v>斜面（しゃめん）を下る運動</x:v>
      </x:c>
      <x:c r="I590" s="18" t="str">
        <x:v>斜面方向の重力の分力によって速さが増す。同じ台車を用い、摩擦や空気抵抗を無視できる条件では、斜面が急なほど速さの増え方が大きく、斜面が同じなら質量によらず増え方はほぼ同じ。つながり：分力／加速／重力</x:v>
      </x:c>
      <x:c r="J590" s="18" t="str">
        <x:v>分力／加速／重力</x:v>
      </x:c>
    </x:row>
    <x:row r="591" ht="62" customHeight="1">
      <x:c r="A591" s="106" t="str">
        <x:v>PHY-149</x:v>
      </x:c>
      <x:c r="B591" s="106" t="str">
        <x:v>物理</x:v>
      </x:c>
      <x:c r="C591" s="106" t="str">
        <x:v>中3</x:v>
      </x:c>
      <x:c r="D591" s="106" t="str">
        <x:v>運動</x:v>
      </x:c>
      <x:c r="E591" s="106" t="str">
        <x:v>用語</x:v>
      </x:c>
      <x:c r="F591" s="106" t="str">
        <x:v>A</x:v>
      </x:c>
      <x:c r="G591" s="106" t="n">
        <x:v>115</x:v>
      </x:c>
      <x:c r="H591" s="18" t="str">
        <x:v>慣性（かんせい）</x:v>
      </x:c>
      <x:c r="I591" s="18" t="str">
        <x:v>物体が現在の運動状態を保とうとする性質。合力が0なら、静止物体は静止を、運動物体は等速直線運動を続ける。力がなければ運動が止まる、は摩擦を見落とした誤解。つながり：等速直線運動／合力／摩擦</x:v>
      </x:c>
      <x:c r="J591" s="18" t="str">
        <x:v>等速直線運動／合力／摩擦</x:v>
      </x:c>
    </x:row>
    <x:row r="592" ht="62" customHeight="1">
      <x:c r="A592" s="106" t="str">
        <x:v>PHY-150</x:v>
      </x:c>
      <x:c r="B592" s="106" t="str">
        <x:v>物理</x:v>
      </x:c>
      <x:c r="C592" s="106" t="str">
        <x:v>中3</x:v>
      </x:c>
      <x:c r="D592" s="106" t="str">
        <x:v>運動</x:v>
      </x:c>
      <x:c r="E592" s="106" t="str">
        <x:v>因果</x:v>
      </x:c>
      <x:c r="F592" s="106" t="str">
        <x:v>B</x:v>
      </x:c>
      <x:c r="G592" s="106" t="str"/>
      <x:c r="H592" s="18" t="str">
        <x:v>慣性（かんせい）の身近な例</x:v>
      </x:c>
      <x:c r="I592" s="18" t="str">
        <x:v>急発進する車内で体が後ろへ傾くのは体が静止を保とうとし、急停止で前へ傾くのは運動を保とうとするため。体を後ろや前へ引く新しい力が直接生じたわけではない。つながり：慣性（かんせい）／急発進／急停止</x:v>
      </x:c>
      <x:c r="J592" s="18" t="str">
        <x:v>慣性かんせい&lt;／rt&gt;&lt;／ruby&gt;／急発進／急停止</x:v>
      </x:c>
    </x:row>
    <x:row r="593" ht="62" customHeight="1">
      <x:c r="A593" s="106" t="str">
        <x:v>PHY-151</x:v>
      </x:c>
      <x:c r="B593" s="106" t="str">
        <x:v>物理</x:v>
      </x:c>
      <x:c r="C593" s="106" t="str">
        <x:v>中3</x:v>
      </x:c>
      <x:c r="D593" s="106" t="str">
        <x:v>運動</x:v>
      </x:c>
      <x:c r="E593" s="106" t="str">
        <x:v>誤解対策</x:v>
      </x:c>
      <x:c r="F593" s="106" t="str">
        <x:v>A</x:v>
      </x:c>
      <x:c r="G593" s="106" t="n">
        <x:v>116</x:v>
      </x:c>
      <x:c r="H593" s="18" t="str">
        <x:v>作用・反作用</x:v>
      </x:c>
      <x:c r="I593" s="18" t="str">
        <x:v>物体AがBに力を及ぼすと、同時にBもAへ大きさが等しく向きが反対の力を及ぼす。2力は別々の物体にはたらくため、同一物体上の力のつり合いではない。つながり：力のつり合い／垂直抗力／反作用</x:v>
      </x:c>
      <x:c r="J593" s="18" t="str">
        <x:v>力のつり合い／垂直抗力／反作用</x:v>
      </x:c>
    </x:row>
    <x:row r="594" ht="62" customHeight="1">
      <x:c r="A594" s="106" t="str">
        <x:v>PHY-152</x:v>
      </x:c>
      <x:c r="B594" s="106" t="str">
        <x:v>物理</x:v>
      </x:c>
      <x:c r="C594" s="106" t="str">
        <x:v>中3</x:v>
      </x:c>
      <x:c r="D594" s="106" t="str">
        <x:v>運動</x:v>
      </x:c>
      <x:c r="E594" s="106" t="str">
        <x:v>誤解対策</x:v>
      </x:c>
      <x:c r="F594" s="106" t="str">
        <x:v>A</x:v>
      </x:c>
      <x:c r="G594" s="106" t="str"/>
      <x:c r="H594" s="18" t="str">
        <x:v>力と速さの変化</x:v>
      </x:c>
      <x:c r="I594" s="18" t="str">
        <x:v>運動方向と同じ向きに合力があれば速くなり、反対向きなら遅くなる。合力が0なら速さは変わらない。一定の力があると「一定の速さ」ではなく「一定の割合で速さが変化」する。つながり：合力／加速／慣性（かんせい）</x:v>
      </x:c>
      <x:c r="J594" s="18" t="str">
        <x:v>合力／加速／慣性かんせい&lt;／rt&gt;&lt;／ruby&gt;</x:v>
      </x:c>
    </x:row>
    <x:row r="595" ht="62" customHeight="1">
      <x:c r="A595" s="106" t="str">
        <x:v>PHY-153</x:v>
      </x:c>
      <x:c r="B595" s="106" t="str">
        <x:v>物理</x:v>
      </x:c>
      <x:c r="C595" s="106" t="str">
        <x:v>中3</x:v>
      </x:c>
      <x:c r="D595" s="106" t="str">
        <x:v>仕事とエネルギー</x:v>
      </x:c>
      <x:c r="E595" s="106" t="str">
        <x:v>計算</x:v>
      </x:c>
      <x:c r="F595" s="106" t="str">
        <x:v>A</x:v>
      </x:c>
      <x:c r="G595" s="106" t="str"/>
      <x:c r="H595" s="18" t="str">
        <x:v>力がする仕事</x:v>
      </x:c>
      <x:c r="I595" s="18" t="str">
        <x:v>力が物体をその力の向きに移動させたとき、仕事W＝力N×力の向きの移動距離m。単位はJ。力と移動が同方向でないときは、その方向の成分を使う。つながり：ジュール／力／移動距離</x:v>
      </x:c>
      <x:c r="J595" s="18" t="str">
        <x:v>ジュール／力／移動距離</x:v>
      </x:c>
    </x:row>
    <x:row r="596" ht="62" customHeight="1">
      <x:c r="A596" s="106" t="str">
        <x:v>PHY-154</x:v>
      </x:c>
      <x:c r="B596" s="106" t="str">
        <x:v>物理</x:v>
      </x:c>
      <x:c r="C596" s="106" t="str">
        <x:v>中3</x:v>
      </x:c>
      <x:c r="D596" s="106" t="str">
        <x:v>仕事とエネルギー</x:v>
      </x:c>
      <x:c r="E596" s="106" t="str">
        <x:v>誤解対策</x:v>
      </x:c>
      <x:c r="F596" s="106" t="str">
        <x:v>A</x:v>
      </x:c>
      <x:c r="G596" s="106" t="str"/>
      <x:c r="H596" s="18" t="str">
        <x:v>仕事が0になる場合</x:v>
      </x:c>
      <x:c r="I596" s="18" t="str">
        <x:v>力を加えても物体が動かない場合、または力と移動方向が垂直な場合、その力のした仕事は0。荷物を水平に運ぶとき、支える上向きの力の仕事は0。疲労とは別の物理量。つながり：仕事／移動距離／力の向き</x:v>
      </x:c>
      <x:c r="J596" s="18" t="str">
        <x:v>仕事／移動距離／力の向き</x:v>
      </x:c>
    </x:row>
    <x:row r="597" ht="62" customHeight="1">
      <x:c r="A597" s="106" t="str">
        <x:v>PHY-155</x:v>
      </x:c>
      <x:c r="B597" s="106" t="str">
        <x:v>物理</x:v>
      </x:c>
      <x:c r="C597" s="106" t="str">
        <x:v>中3</x:v>
      </x:c>
      <x:c r="D597" s="106" t="str">
        <x:v>仕事とエネルギー</x:v>
      </x:c>
      <x:c r="E597" s="106" t="str">
        <x:v>計算</x:v>
      </x:c>
      <x:c r="F597" s="106" t="str">
        <x:v>A</x:v>
      </x:c>
      <x:c r="G597" s="106" t="str"/>
      <x:c r="H597" s="18" t="str">
        <x:v>仕事率</x:v>
      </x:c>
      <x:c r="I597" s="18" t="str">
        <x:v>単位時間あたりにする仕事。仕事率P＝仕事W÷時間s、単位はW。100 Jの仕事を5秒なら20 W。同じ仕事でも短時間で行うほど仕事率は大きい。つながり：仕事／ワット／電力</x:v>
      </x:c>
      <x:c r="J597" s="18" t="str">
        <x:v>仕事／ワット／電力</x:v>
      </x:c>
    </x:row>
    <x:row r="598" ht="62" customHeight="1">
      <x:c r="A598" s="106" t="str">
        <x:v>PHY-156</x:v>
      </x:c>
      <x:c r="B598" s="106" t="str">
        <x:v>物理</x:v>
      </x:c>
      <x:c r="C598" s="106" t="str">
        <x:v>中3</x:v>
      </x:c>
      <x:c r="D598" s="106" t="str">
        <x:v>仕事とエネルギー</x:v>
      </x:c>
      <x:c r="E598" s="106" t="str">
        <x:v>用語</x:v>
      </x:c>
      <x:c r="F598" s="106" t="str">
        <x:v>A</x:v>
      </x:c>
      <x:c r="G598" s="106" t="str"/>
      <x:c r="H598" s="18" t="str">
        <x:v>仕事の原理</x:v>
      </x:c>
      <x:c r="I598" s="18" t="str">
        <x:v>道具を使って必要な力を小さくしても、その分動かす距離が長くなり、摩擦を無視すれば仕事の量は変わらない。てこ・滑車・斜面に共通する。つながり：てこ／滑車／斜面</x:v>
      </x:c>
      <x:c r="J598" s="18" t="str">
        <x:v>てこ／滑車／斜面</x:v>
      </x:c>
    </x:row>
    <x:row r="599" ht="62" customHeight="1">
      <x:c r="A599" s="106" t="str">
        <x:v>PHY-157</x:v>
      </x:c>
      <x:c r="B599" s="106" t="str">
        <x:v>物理</x:v>
      </x:c>
      <x:c r="C599" s="106" t="str">
        <x:v>中3</x:v>
      </x:c>
      <x:c r="D599" s="106" t="str">
        <x:v>仕事とエネルギー</x:v>
      </x:c>
      <x:c r="E599" s="106" t="str">
        <x:v>計算</x:v>
      </x:c>
      <x:c r="F599" s="106" t="str">
        <x:v>A</x:v>
      </x:c>
      <x:c r="G599" s="106" t="n">
        <x:v>117</x:v>
      </x:c>
      <x:c r="H599" s="18" t="str">
        <x:v>位置エネルギー</x:v>
      </x:c>
      <x:c r="I599" s="18" t="str">
        <x:v>高い位置にある物体が持つエネルギー。基準面からの高さと質量が大きいほど大きく、重力による位置エネルギーは「重さN×高さm」でJになる。基準面の選び方に注意。つながり：重力／高さ／運動エネルギー</x:v>
      </x:c>
      <x:c r="J599" s="18" t="str">
        <x:v>重力／高さ／運動エネルギー</x:v>
      </x:c>
    </x:row>
    <x:row r="600" ht="62" customHeight="1">
      <x:c r="A600" s="106" t="str">
        <x:v>PHY-158</x:v>
      </x:c>
      <x:c r="B600" s="106" t="str">
        <x:v>物理</x:v>
      </x:c>
      <x:c r="C600" s="106" t="str">
        <x:v>中3</x:v>
      </x:c>
      <x:c r="D600" s="106" t="str">
        <x:v>仕事とエネルギー</x:v>
      </x:c>
      <x:c r="E600" s="106" t="str">
        <x:v>因果</x:v>
      </x:c>
      <x:c r="F600" s="106" t="str">
        <x:v>A</x:v>
      </x:c>
      <x:c r="G600" s="106" t="n">
        <x:v>133</x:v>
      </x:c>
      <x:c r="H600" s="18" t="str">
        <x:v>運動エネルギー</x:v>
      </x:c>
      <x:c r="I600" s="18" t="str">
        <x:v>運動している物体が持つエネルギー。質量が大きいほど、速さが大きいほど大きい。特に速さの2乗に比例するため、速さが2倍なら運動エネルギーは4倍。つながり：速さ／質量／位置エネルギー</x:v>
      </x:c>
      <x:c r="J600" s="18" t="str">
        <x:v>速さ／質量／位置エネルギー</x:v>
      </x:c>
    </x:row>
    <x:row r="601" ht="62" customHeight="1">
      <x:c r="A601" s="106" t="str">
        <x:v>PHY-159</x:v>
      </x:c>
      <x:c r="B601" s="106" t="str">
        <x:v>物理</x:v>
      </x:c>
      <x:c r="C601" s="106" t="str">
        <x:v>中3</x:v>
      </x:c>
      <x:c r="D601" s="106" t="str">
        <x:v>仕事とエネルギー</x:v>
      </x:c>
      <x:c r="E601" s="106" t="str">
        <x:v>用語</x:v>
      </x:c>
      <x:c r="F601" s="106" t="str">
        <x:v>A</x:v>
      </x:c>
      <x:c r="G601" s="106" t="n">
        <x:v>134</x:v>
      </x:c>
      <x:c r="H601" s="18" t="str">
        <x:v>力学的エネルギー（りきがくてきえねるぎー）保存</x:v>
      </x:c>
      <x:c r="I601" s="18" t="str">
        <x:v>摩擦や空気抵抗を無視できるとき、位置エネルギー＋運動エネルギーは一定。落下では位置が減った分だけ運動が増える。各エネルギー単独が一定なのではない。つながり：位置エネルギー／運動エネルギー／自由落下</x:v>
      </x:c>
      <x:c r="J601" s="18" t="str">
        <x:v>位置エネルギー／運動エネルギー／自由落下</x:v>
      </x:c>
    </x:row>
    <x:row r="602" ht="62" customHeight="1">
      <x:c r="A602" s="106" t="str">
        <x:v>PHY-160</x:v>
      </x:c>
      <x:c r="B602" s="106" t="str">
        <x:v>物理</x:v>
      </x:c>
      <x:c r="C602" s="106" t="str">
        <x:v>中3</x:v>
      </x:c>
      <x:c r="D602" s="106" t="str">
        <x:v>仕事とエネルギー</x:v>
      </x:c>
      <x:c r="E602" s="106" t="str">
        <x:v>誤解対策</x:v>
      </x:c>
      <x:c r="F602" s="106" t="str">
        <x:v>A</x:v>
      </x:c>
      <x:c r="G602" s="106" t="str"/>
      <x:c r="H602" s="18" t="str">
        <x:v>摩擦があるときのエネルギー</x:v>
      </x:c>
      <x:c r="I602" s="18" t="str">
        <x:v>力学的エネルギー（りきがくてきえねるぎー）の一部が熱や音などへ変換されるため、力学的エネルギーは減る。しかし熱なども含めた全エネルギーは保存される。「エネルギーが消えた」わけではない。つながり：摩擦／熱／エネルギー保存</x:v>
      </x:c>
      <x:c r="J602" s="18" t="str">
        <x:v>摩擦／熱／エネルギー保存</x:v>
      </x:c>
    </x:row>
    <x:row r="603" ht="62" customHeight="1">
      <x:c r="A603" s="106" t="str">
        <x:v>PHY-169</x:v>
      </x:c>
      <x:c r="B603" s="106" t="str">
        <x:v>物理</x:v>
      </x:c>
      <x:c r="C603" s="106" t="str">
        <x:v>中3</x:v>
      </x:c>
      <x:c r="D603" s="106" t="str">
        <x:v>エネルギー資源</x:v>
      </x:c>
      <x:c r="E603" s="106" t="str">
        <x:v>比較</x:v>
      </x:c>
      <x:c r="F603" s="106" t="str">
        <x:v>A</x:v>
      </x:c>
      <x:c r="G603" s="106" t="str"/>
      <x:c r="H603" s="18" t="str">
        <x:v>発電に共通するエネルギー変換</x:v>
      </x:c>
      <x:c r="I603" s="18" t="str">
        <x:v>火力・水力・原子力・風力の多くは、タービンなどの運動で発電機を回し、電磁誘導（でんじゆうどう）で電気を得る。太陽光発電は光を直接電気へ変え、回転する発電機を使わない。つながり：発電機／電磁誘導／タービン</x:v>
      </x:c>
      <x:c r="J603" s="18" t="str">
        <x:v>発電機／電磁誘導／タービン</x:v>
      </x:c>
    </x:row>
    <x:row r="604" ht="62" customHeight="1">
      <x:c r="A604" s="106" t="str">
        <x:v>PHY-170</x:v>
      </x:c>
      <x:c r="B604" s="106" t="str">
        <x:v>物理</x:v>
      </x:c>
      <x:c r="C604" s="106" t="str">
        <x:v>中3</x:v>
      </x:c>
      <x:c r="D604" s="106" t="str">
        <x:v>エネルギー資源</x:v>
      </x:c>
      <x:c r="E604" s="106" t="str">
        <x:v>因果</x:v>
      </x:c>
      <x:c r="F604" s="106" t="str">
        <x:v>A</x:v>
      </x:c>
      <x:c r="G604" s="106" t="str"/>
      <x:c r="H604" s="18" t="str">
        <x:v>火力発電の変換経路</x:v>
      </x:c>
      <x:c r="I604" s="18" t="str">
        <x:v>燃料の化学エネルギー→熱→蒸気の運動→タービンの運動→電気。出力を調整しやすい一方、化石燃料は有限で、燃焼により二酸化（さんか）炭素や大気汚染物質が生じる。つながり：化石燃料／タービン／二酸化炭素</x:v>
      </x:c>
      <x:c r="J604" s="18" t="str">
        <x:v>化石燃料／タービン／二酸化炭素</x:v>
      </x:c>
    </x:row>
    <x:row r="605" ht="62" customHeight="1">
      <x:c r="A605" s="106" t="str">
        <x:v>PHY-171</x:v>
      </x:c>
      <x:c r="B605" s="106" t="str">
        <x:v>物理</x:v>
      </x:c>
      <x:c r="C605" s="106" t="str">
        <x:v>中3</x:v>
      </x:c>
      <x:c r="D605" s="106" t="str">
        <x:v>エネルギー資源</x:v>
      </x:c>
      <x:c r="E605" s="106" t="str">
        <x:v>因果</x:v>
      </x:c>
      <x:c r="F605" s="106" t="str">
        <x:v>B</x:v>
      </x:c>
      <x:c r="G605" s="106" t="str"/>
      <x:c r="H605" s="18" t="str">
        <x:v>揚水発電が電気を蓄える仕組み</x:v>
      </x:c>
      <x:c r="I605" s="18" t="str">
        <x:v>電力が余るときにポンプで水を上の貯水池へ上げ、位置エネルギーとして蓄える。需要が多いときに水を落として発電する。往復で損失はあるが、大量の需給調整（じゅきゅうちょうせい）に使える。つながり：位置エネルギー／蓄電／需給調整</x:v>
      </x:c>
      <x:c r="J605" s="18" t="str">
        <x:v>位置エネルギー／蓄電／需給調整</x:v>
      </x:c>
    </x:row>
    <x:row r="606" ht="62" customHeight="1">
      <x:c r="A606" s="106" t="str">
        <x:v>PHY-172</x:v>
      </x:c>
      <x:c r="B606" s="106" t="str">
        <x:v>物理</x:v>
      </x:c>
      <x:c r="C606" s="106" t="str">
        <x:v>中3</x:v>
      </x:c>
      <x:c r="D606" s="106" t="str">
        <x:v>エネルギー資源</x:v>
      </x:c>
      <x:c r="E606" s="106" t="str">
        <x:v>因果</x:v>
      </x:c>
      <x:c r="F606" s="106" t="str">
        <x:v>A</x:v>
      </x:c>
      <x:c r="G606" s="106" t="str"/>
      <x:c r="H606" s="18" t="str">
        <x:v>原子力発電の変換経路</x:v>
      </x:c>
      <x:c r="I606" s="18" t="str">
        <x:v>核分裂で得たエネルギー→熱→蒸気→タービンの運動→電気。運転時の二酸化（さんか）炭素排出は少ないが、放射性廃棄物・事故リスク・冷却や廃炉を含めて考える。つながり：核分裂／放射性物質（ほうしゃせいぶっしつ）／タービン</x:v>
      </x:c>
      <x:c r="J606" s="18" t="str">
        <x:v>核分裂／放射性物質ほうしゃせいぶっしつ&lt;／rt&gt;&lt;／ruby&gt;／タービン</x:v>
      </x:c>
    </x:row>
    <x:row r="607" ht="62" customHeight="1">
      <x:c r="A607" s="106" t="str">
        <x:v>PHY-173</x:v>
      </x:c>
      <x:c r="B607" s="106" t="str">
        <x:v>物理</x:v>
      </x:c>
      <x:c r="C607" s="106" t="str">
        <x:v>中3</x:v>
      </x:c>
      <x:c r="D607" s="106" t="str">
        <x:v>エネルギー資源</x:v>
      </x:c>
      <x:c r="E607" s="106" t="str">
        <x:v>比較</x:v>
      </x:c>
      <x:c r="F607" s="106" t="str">
        <x:v>A</x:v>
      </x:c>
      <x:c r="G607" s="106" t="str"/>
      <x:c r="H607" s="18" t="str">
        <x:v>太陽光発電と風力発電</x:v>
      </x:c>
      <x:c r="I607" s="18" t="str">
        <x:v>太陽光は光を直接、風力は風の運動を発電機で電気へ変える。どちらも燃料をほぼ使わないが、天候や時刻で出力が変動するため、送電網・蓄電・他電源との組合せが重要。つながり：再生可能エネルギー／蓄電／出力変動</x:v>
      </x:c>
      <x:c r="J607" s="18" t="str">
        <x:v>再生可能エネルギー／蓄電／出力変動</x:v>
      </x:c>
    </x:row>
    <x:row r="608" ht="62" customHeight="1">
      <x:c r="A608" s="106" t="str">
        <x:v>PHY-174</x:v>
      </x:c>
      <x:c r="B608" s="106" t="str">
        <x:v>物理</x:v>
      </x:c>
      <x:c r="C608" s="106" t="str">
        <x:v>中3</x:v>
      </x:c>
      <x:c r="D608" s="106" t="str">
        <x:v>エネルギー資源</x:v>
      </x:c>
      <x:c r="E608" s="106" t="str">
        <x:v>比較</x:v>
      </x:c>
      <x:c r="F608" s="106" t="str">
        <x:v>A</x:v>
      </x:c>
      <x:c r="G608" s="106" t="str"/>
      <x:c r="H608" s="18" t="str">
        <x:v>再生可能資源と枯渇性（こかつせい）資源</x:v>
      </x:c>
      <x:c r="I608" s="18" t="str">
        <x:v>太陽光・風・水など自然の過程で繰り返し補われる資源が再生可能資源。石油・石炭・天然ガス・ウランなど採取可能量が有限なものは枯渇性（こかつせい）資源。再生可能でも環境影響が0とは限らない。つながり：化石燃料／太陽光／持続可能性</x:v>
      </x:c>
      <x:c r="J608" s="18" t="str">
        <x:v>化石燃料／太陽光／持続可能性</x:v>
      </x:c>
    </x:row>
    <x:row r="609" ht="62" customHeight="1">
      <x:c r="A609" s="106" t="str">
        <x:v>PHY-175</x:v>
      </x:c>
      <x:c r="B609" s="106" t="str">
        <x:v>物理</x:v>
      </x:c>
      <x:c r="C609" s="106" t="str">
        <x:v>中3</x:v>
      </x:c>
      <x:c r="D609" s="106" t="str">
        <x:v>エネルギー資源</x:v>
      </x:c>
      <x:c r="E609" s="106" t="str">
        <x:v>計算</x:v>
      </x:c>
      <x:c r="F609" s="106" t="str">
        <x:v>A</x:v>
      </x:c>
      <x:c r="G609" s="106" t="str"/>
      <x:c r="H609" s="18" t="str">
        <x:v>エネルギー変換効率</x:v>
      </x:c>
      <x:c r="I609" s="18" t="str">
        <x:v>投入したエネルギーのうち目的に利用できた割合。効率％＝有効利用エネルギー÷投入エネルギー×100。残りは主に熱や音へ変わり、全エネルギー自体が消えるわけではない。つながり：エネルギー保存／熱損失／百分率</x:v>
      </x:c>
      <x:c r="J609" s="18" t="str">
        <x:v>エネルギー保存／熱損失／百分率</x:v>
      </x:c>
    </x:row>
    <x:row r="610" ht="62" customHeight="1">
      <x:c r="A610" s="106" t="str">
        <x:v>PHY-176</x:v>
      </x:c>
      <x:c r="B610" s="106" t="str">
        <x:v>物理</x:v>
      </x:c>
      <x:c r="C610" s="106" t="str">
        <x:v>中3</x:v>
      </x:c>
      <x:c r="D610" s="106" t="str">
        <x:v>エネルギー資源</x:v>
      </x:c>
      <x:c r="E610" s="106" t="str">
        <x:v>因果</x:v>
      </x:c>
      <x:c r="F610" s="106" t="str">
        <x:v>B</x:v>
      </x:c>
      <x:c r="G610" s="106" t="str"/>
      <x:c r="H610" s="18" t="str">
        <x:v>変動する発電を安定供給へつなぐ方法</x:v>
      </x:c>
      <x:c r="I610" s="18" t="str">
        <x:v>太陽光・風力の出力変動に対し、蓄電、広域送電と地域間連系、使う時刻をずらす需要調整、出力を調節できる発電を組み合わせ、需要と供給を常に近づける。つながり：蓄電／送電網／需給調整（じゅきゅうちょうせい）</x:v>
      </x:c>
      <x:c r="J610" s="18" t="str">
        <x:v>蓄電／送電網／需給調整じゅきゅうちょうせい&lt;／rt&gt;&lt;／ruby&gt;</x:v>
      </x:c>
    </x:row>
    <x:row r="611" ht="62" customHeight="1">
      <x:c r="A611" s="106" t="str">
        <x:v>PHY-177</x:v>
      </x:c>
      <x:c r="B611" s="106" t="str">
        <x:v>物理</x:v>
      </x:c>
      <x:c r="C611" s="106" t="str">
        <x:v>中3</x:v>
      </x:c>
      <x:c r="D611" s="106" t="str">
        <x:v>放射線</x:v>
      </x:c>
      <x:c r="E611" s="106" t="str">
        <x:v>比較</x:v>
      </x:c>
      <x:c r="F611" s="106" t="str">
        <x:v>A</x:v>
      </x:c>
      <x:c r="G611" s="106" t="str"/>
      <x:c r="H611" s="18" t="str">
        <x:v>放射線（ほうしゃせん）・放射能（ほうしゃのう）・放射性物質（ほうしゃせいぶっしつ）</x:v>
      </x:c>
      <x:c r="I611" s="18" t="str">
        <x:v>放射線（ほうしゃせん）は高いエネルギーをもつ粒子や電磁波。放射能（ほうしゃのう）は放射線を出す能力、放射性物質（ほうしゃせいぶっしつ）はその能力をもつ物質。三つを同じ物として扱わない。つながり：原子核（げんしかく）／放射性物質／放射線防護</x:v>
      </x:c>
      <x:c r="J611" s="18" t="str">
        <x:v>原子核げんしかく&lt;／rt&gt;&lt;／ruby&gt;／放射性物質／放射線防護</x:v>
      </x:c>
    </x:row>
    <x:row r="612" ht="62" customHeight="1">
      <x:c r="A612" s="106" t="str">
        <x:v>PHY-178</x:v>
      </x:c>
      <x:c r="B612" s="106" t="str">
        <x:v>物理</x:v>
      </x:c>
      <x:c r="C612" s="106" t="str">
        <x:v>中3</x:v>
      </x:c>
      <x:c r="D612" s="106" t="str">
        <x:v>放射線</x:v>
      </x:c>
      <x:c r="E612" s="106" t="str">
        <x:v>比較</x:v>
      </x:c>
      <x:c r="F612" s="106" t="str">
        <x:v>B</x:v>
      </x:c>
      <x:c r="G612" s="106" t="str"/>
      <x:c r="H612" s="18" t="str">
        <x:v>α線・β線・γ線の透過性（とうかせい）</x:v>
      </x:c>
      <x:c r="I612" s="18" t="str">
        <x:v>一般にα線は紙や皮膚、β線は薄い金属板、γ線は厚い鉛やコンクリートで弱められる。透過性（とうかせい）はα＜β＜γだが、人体への影響は透過性だけでなく線量や体内外の位置で変わる。つながり：遮へい／線量／放射線（ほうしゃせん）</x:v>
      </x:c>
      <x:c r="J612" s="18" t="str">
        <x:v>遮へい／線量／放射線ほうしゃせん&lt;／rt&gt;&lt;／ruby&gt;</x:v>
      </x:c>
    </x:row>
    <x:row r="613" ht="62" customHeight="1">
      <x:c r="A613" s="106" t="str">
        <x:v>PHY-179</x:v>
      </x:c>
      <x:c r="B613" s="106" t="str">
        <x:v>物理</x:v>
      </x:c>
      <x:c r="C613" s="106" t="str">
        <x:v>中3</x:v>
      </x:c>
      <x:c r="D613" s="106" t="str">
        <x:v>放射線</x:v>
      </x:c>
      <x:c r="E613" s="106" t="str">
        <x:v>用語</x:v>
      </x:c>
      <x:c r="F613" s="106" t="str">
        <x:v>B</x:v>
      </x:c>
      <x:c r="G613" s="106" t="str"/>
      <x:c r="H613" s="18" t="str">
        <x:v>放射線（ほうしゃせん）の利用</x:v>
      </x:c>
      <x:c r="I613" s="18" t="str">
        <x:v>透過・電離（でんり）などの性質を利用し、医療画像、がん治療、器具の滅菌、工業製品の非破壊検査、物質の追跡などに使う。用途ごとに種類と量を管理する。つながり：医療／非破壊検査／電離作用（でんりさよう）</x:v>
      </x:c>
      <x:c r="J613" s="18" t="str">
        <x:v>医療／非破壊検査／電離作用でんりさよう&lt;／rt&gt;&lt;／ruby&gt;</x:v>
      </x:c>
    </x:row>
    <x:row r="614" ht="62" customHeight="1">
      <x:c r="A614" s="106" t="str">
        <x:v>PHY-180</x:v>
      </x:c>
      <x:c r="B614" s="106" t="str">
        <x:v>物理</x:v>
      </x:c>
      <x:c r="C614" s="106" t="str">
        <x:v>中3</x:v>
      </x:c>
      <x:c r="D614" s="106" t="str">
        <x:v>放射線</x:v>
      </x:c>
      <x:c r="E614" s="106" t="str">
        <x:v>用語</x:v>
      </x:c>
      <x:c r="F614" s="106" t="str">
        <x:v>A</x:v>
      </x:c>
      <x:c r="G614" s="106" t="str"/>
      <x:c r="H614" s="18" t="str">
        <x:v>放射線（ほうしゃせん）から身を守る三原則</x:v>
      </x:c>
      <x:c r="I614" s="18" t="str">
        <x:v>受ける線量を減らす基本は、放射線（ほうしゃせん）源の近くにいる時間を短くする、距離を取る、種類に合う物質で遮へいすること。危険性は「ある・ない」だけでなく線量で考える。つながり：時間／距離／遮へい</x:v>
      </x:c>
      <x:c r="J614" s="18" t="str">
        <x:v>時間／距離／遮へい</x:v>
      </x:c>
    </x:row>
    <x:row r="615" ht="62" customHeight="1">
      <x:c r="A615" s="106" t="str">
        <x:v>CHE-050</x:v>
      </x:c>
      <x:c r="B615" s="106" t="str">
        <x:v>化学</x:v>
      </x:c>
      <x:c r="C615" s="106" t="str">
        <x:v>中3</x:v>
      </x:c>
      <x:c r="D615" s="106" t="str">
        <x:v>水溶液の性質</x:v>
      </x:c>
      <x:c r="E615" s="106" t="str">
        <x:v>用語</x:v>
      </x:c>
      <x:c r="F615" s="106" t="str">
        <x:v>A</x:v>
      </x:c>
      <x:c r="G615" s="106" t="str"/>
      <x:c r="H615" s="18" t="str">
        <x:v>BTB溶液</x:v>
      </x:c>
      <x:c r="I615" s="18" t="str">
        <x:v>酸性で黄色、中性で緑色、アルカリ性で青色を示す指示薬。色は連続的に変わるため、中和（ちゅうわ）点付近の変化を観察できる。元の液に色がある場合は判定しにくい。つながり：指示薬／中和／pH</x:v>
      </x:c>
      <x:c r="J615" s="18" t="str">
        <x:v>指示薬／中和／pH</x:v>
      </x:c>
    </x:row>
    <x:row r="616" ht="62" customHeight="1">
      <x:c r="A616" s="106" t="str">
        <x:v>CHE-051</x:v>
      </x:c>
      <x:c r="B616" s="106" t="str">
        <x:v>化学</x:v>
      </x:c>
      <x:c r="C616" s="106" t="str">
        <x:v>中3</x:v>
      </x:c>
      <x:c r="D616" s="106" t="str">
        <x:v>水溶液の性質</x:v>
      </x:c>
      <x:c r="E616" s="106" t="str">
        <x:v>用語</x:v>
      </x:c>
      <x:c r="F616" s="106" t="str">
        <x:v>A</x:v>
      </x:c>
      <x:c r="G616" s="106" t="str"/>
      <x:c r="H616" s="18" t="str">
        <x:v>pH</x:v>
      </x:c>
      <x:c r="I616" s="18" t="str">
        <x:v>水溶液の酸性・アルカリ性の程度を表す尺度。およそpH7が中性で、7より小さいほど酸性が強く、7より大きいほどアルカリ性が強い。指示薬やpH試験紙で調べる。つながり：水素イオン／中性／指示薬</x:v>
      </x:c>
      <x:c r="J616" s="18" t="str">
        <x:v>水素イオン／中性／指示薬</x:v>
      </x:c>
    </x:row>
    <x:row r="617" ht="62" customHeight="1">
      <x:c r="A617" s="106" t="str">
        <x:v>CHE-101</x:v>
      </x:c>
      <x:c r="B617" s="106" t="str">
        <x:v>化学</x:v>
      </x:c>
      <x:c r="C617" s="106" t="str">
        <x:v>中3</x:v>
      </x:c>
      <x:c r="D617" s="106" t="str">
        <x:v>イオン</x:v>
      </x:c>
      <x:c r="E617" s="106" t="str">
        <x:v>用語</x:v>
      </x:c>
      <x:c r="F617" s="106" t="str">
        <x:v>A</x:v>
      </x:c>
      <x:c r="G617" s="106" t="n">
        <x:v>118</x:v>
      </x:c>
      <x:c r="H617" s="18" t="str">
        <x:v>イオン</x:v>
      </x:c>
      <x:c r="I617" s="18" t="str">
        <x:v>原子や原子団が電子を失ったり受け取ったりして電気を帯びた粒子。電子を失うと陽イオン（よういおん）、受け取ると陰イオン（いんいおん）。原子核（げんしかく）の陽子（ようし）数は化学変化では変わらない。つながり：陽イオン／陰イオン／電子</x:v>
      </x:c>
      <x:c r="J617" s="18" t="str">
        <x:v>陽イオン／陰イオン／電子</x:v>
      </x:c>
    </x:row>
    <x:row r="618" ht="62" customHeight="1">
      <x:c r="A618" s="106" t="str">
        <x:v>CHE-102</x:v>
      </x:c>
      <x:c r="B618" s="106" t="str">
        <x:v>化学</x:v>
      </x:c>
      <x:c r="C618" s="106" t="str">
        <x:v>中3</x:v>
      </x:c>
      <x:c r="D618" s="106" t="str">
        <x:v>イオン</x:v>
      </x:c>
      <x:c r="E618" s="106" t="str">
        <x:v>用語</x:v>
      </x:c>
      <x:c r="F618" s="106" t="str">
        <x:v>A</x:v>
      </x:c>
      <x:c r="G618" s="106" t="str"/>
      <x:c r="H618" s="18" t="str">
        <x:v>陽イオン（よういおん）</x:v>
      </x:c>
      <x:c r="I618" s="18" t="str">
        <x:v>原子などが電子を失い、正の電気を帯びた粒子。Na⁺、H⁺、Cu²⁺、NH₄⁺など。右上の数字は電荷の大きさで、原子の個数ではない。つながり：電子放出／陰イオン（いんいおん）／電離（でんり）</x:v>
      </x:c>
      <x:c r="J618" s="18" t="str">
        <x:v>電子放出／陰イオンいんいおん&lt;／rt&gt;&lt;／ruby&gt;／電離でんり&lt;／rt&gt;&lt;／ruby&gt;</x:v>
      </x:c>
    </x:row>
    <x:row r="619" ht="62" customHeight="1">
      <x:c r="A619" s="106" t="str">
        <x:v>CHE-103</x:v>
      </x:c>
      <x:c r="B619" s="106" t="str">
        <x:v>化学</x:v>
      </x:c>
      <x:c r="C619" s="106" t="str">
        <x:v>中3</x:v>
      </x:c>
      <x:c r="D619" s="106" t="str">
        <x:v>イオン</x:v>
      </x:c>
      <x:c r="E619" s="106" t="str">
        <x:v>用語</x:v>
      </x:c>
      <x:c r="F619" s="106" t="str">
        <x:v>A</x:v>
      </x:c>
      <x:c r="G619" s="106" t="str"/>
      <x:c r="H619" s="18" t="str">
        <x:v>陰イオン（いんいおん）</x:v>
      </x:c>
      <x:c r="I619" s="18" t="str">
        <x:v>原子などが電子を受け取り、負の電気を帯びた粒子。Cl⁻、OH⁻、SO₄²⁻など。マイナスは「電子が少ない」のではなく、陽子（ようし）より電子が多い状態。つながり：電子受容／陽イオン（よういおん）／電離（でんり）</x:v>
      </x:c>
      <x:c r="J619" s="18" t="str">
        <x:v>電子受容／陽イオンよういおん&lt;／rt&gt;&lt;／ruby&gt;／電離でんり&lt;／rt&gt;&lt;／ruby&gt;</x:v>
      </x:c>
    </x:row>
    <x:row r="620" ht="62" customHeight="1">
      <x:c r="A620" s="106" t="str">
        <x:v>CHE-104</x:v>
      </x:c>
      <x:c r="B620" s="106" t="str">
        <x:v>化学</x:v>
      </x:c>
      <x:c r="C620" s="106" t="str">
        <x:v>中3</x:v>
      </x:c>
      <x:c r="D620" s="106" t="str">
        <x:v>イオン</x:v>
      </x:c>
      <x:c r="E620" s="106" t="str">
        <x:v>誤解対策</x:v>
      </x:c>
      <x:c r="F620" s="106" t="str">
        <x:v>A</x:v>
      </x:c>
      <x:c r="G620" s="106" t="n">
        <x:v>119</x:v>
      </x:c>
      <x:c r="H620" s="18" t="str">
        <x:v>原子がイオンになるときの電子</x:v>
      </x:c>
      <x:c r="I620" s="18" t="str">
        <x:v>ナトリウム原子は電子1個を失いNa⁺、塩素原子は電子1個を受け取りCl⁻。イオンになるのは電子の出入りであり、陽子（ようし）や中性子（ちゅうせいし）が移動するのではない。つながり：Na+／Cl-／電子移動</x:v>
      </x:c>
      <x:c r="J620" s="18" t="str">
        <x:v>Na+／Cl-／電子移動</x:v>
      </x:c>
    </x:row>
    <x:row r="621" ht="62" customHeight="1">
      <x:c r="A621" s="106" t="str">
        <x:v>CHE-105</x:v>
      </x:c>
      <x:c r="B621" s="106" t="str">
        <x:v>化学</x:v>
      </x:c>
      <x:c r="C621" s="106" t="str">
        <x:v>中3</x:v>
      </x:c>
      <x:c r="D621" s="106" t="str">
        <x:v>イオン</x:v>
      </x:c>
      <x:c r="E621" s="106" t="str">
        <x:v>比較</x:v>
      </x:c>
      <x:c r="F621" s="106" t="str">
        <x:v>B</x:v>
      </x:c>
      <x:c r="G621" s="106" t="str"/>
      <x:c r="H621" s="18" t="str">
        <x:v>重要な陽イオン（よういおん）（一覧）</x:v>
      </x:c>
      <x:c r="I621" s="18" t="str">
        <x:v>1価はH⁺・Na⁺・K⁺・Ag⁺・NH₄⁺、2価はCu²⁺・Mg²⁺・Ca²⁺・Zn²⁺・Ba²⁺。名称と式を個別カードで覚えた後、電荷ごとに総復習する。つながり：陽イオン（よういおん）／電荷／電離（でんり）</x:v>
      </x:c>
      <x:c r="J621" s="18" t="str">
        <x:v>陽イオンよういおん&lt;／rt&gt;&lt;／ruby&gt;／電荷／電離でんり&lt;／rt&gt;&lt;／ruby&gt;</x:v>
      </x:c>
    </x:row>
    <x:row r="622" ht="62" customHeight="1">
      <x:c r="A622" s="106" t="str">
        <x:v>CHE-106</x:v>
      </x:c>
      <x:c r="B622" s="106" t="str">
        <x:v>化学</x:v>
      </x:c>
      <x:c r="C622" s="106" t="str">
        <x:v>中3</x:v>
      </x:c>
      <x:c r="D622" s="106" t="str">
        <x:v>イオン</x:v>
      </x:c>
      <x:c r="E622" s="106" t="str">
        <x:v>比較</x:v>
      </x:c>
      <x:c r="F622" s="106" t="str">
        <x:v>B</x:v>
      </x:c>
      <x:c r="G622" s="106" t="str"/>
      <x:c r="H622" s="18" t="str">
        <x:v>重要な陰イオン（いんいおん）（一覧）</x:v>
      </x:c>
      <x:c r="I622" s="18" t="str">
        <x:v>塩化物イオンCl⁻、水酸化（さんか）物イオンOH⁻、硫酸イオンSO₄²⁻、硝酸イオンNO₃⁻、炭酸イオンCO₃²⁻。複数原子からなるものは原子団全体で1つのイオン。個別カード習得後の総復習に使う。つながり：電離（でんり）／アルカリ性／沈殿（ちんでん）</x:v>
      </x:c>
      <x:c r="J622" s="18" t="str">
        <x:v>電離でんり&lt;／rt&gt;&lt;／ruby&gt;／アルカリ性／沈殿ちんでん&lt;／rt&gt;&lt;／ruby&gt;</x:v>
      </x:c>
    </x:row>
    <x:row r="623" ht="62" customHeight="1">
      <x:c r="A623" s="106" t="str">
        <x:v>CHE-107</x:v>
      </x:c>
      <x:c r="B623" s="106" t="str">
        <x:v>化学</x:v>
      </x:c>
      <x:c r="C623" s="106" t="str">
        <x:v>中3</x:v>
      </x:c>
      <x:c r="D623" s="106" t="str">
        <x:v>イオン</x:v>
      </x:c>
      <x:c r="E623" s="106" t="str">
        <x:v>比較</x:v>
      </x:c>
      <x:c r="F623" s="106" t="str">
        <x:v>A</x:v>
      </x:c>
      <x:c r="G623" s="106" t="n">
        <x:v>120</x:v>
      </x:c>
      <x:c r="H623" s="18" t="str">
        <x:v>電解質（でんかいしつ）と非電解質（ひでんかいしつ）</x:v>
      </x:c>
      <x:c r="I623" s="18" t="str">
        <x:v>水に溶けたときイオンに分かれ、水溶液が電流を通す物質が電解質（でんかいしつ）。食塩・塩酸・水酸化（さんか）ナトリウムなど。砂糖やエタノールは溶けてもイオンにならず非電解質（ひでんかいしつ）。つながり：電離（でんり）／導電性／イオン</x:v>
      </x:c>
      <x:c r="J623" s="18" t="str">
        <x:v>電離でんり&lt;／rt&gt;&lt;／ruby&gt;／導電性／イオン</x:v>
      </x:c>
    </x:row>
    <x:row r="624" ht="62" customHeight="1">
      <x:c r="A624" s="106" t="str">
        <x:v>CHE-108</x:v>
      </x:c>
      <x:c r="B624" s="106" t="str">
        <x:v>化学</x:v>
      </x:c>
      <x:c r="C624" s="106" t="str">
        <x:v>中3</x:v>
      </x:c>
      <x:c r="D624" s="106" t="str">
        <x:v>イオン</x:v>
      </x:c>
      <x:c r="E624" s="106" t="str">
        <x:v>用語</x:v>
      </x:c>
      <x:c r="F624" s="106" t="str">
        <x:v>A</x:v>
      </x:c>
      <x:c r="G624" s="106" t="n">
        <x:v>121</x:v>
      </x:c>
      <x:c r="H624" s="18" t="str">
        <x:v>電離（でんり）</x:v>
      </x:c>
      <x:c r="I624" s="18" t="str">
        <x:v>電解質（でんかいしつ）が水に溶けて陽イオン（よういおん）と陰イオン（いんいおん）に分かれること。NaCl→Na⁺＋Cl⁻。水溶液全体では正負の電荷総量が等しく、電気的に中性。つながり：電解質／陽イオン／陰イオン</x:v>
      </x:c>
      <x:c r="J624" s="18" t="str">
        <x:v>電解質／陽イオン／陰イオン</x:v>
      </x:c>
    </x:row>
    <x:row r="625" ht="62" customHeight="1">
      <x:c r="A625" s="106" t="str">
        <x:v>CHE-109</x:v>
      </x:c>
      <x:c r="B625" s="106" t="str">
        <x:v>化学</x:v>
      </x:c>
      <x:c r="C625" s="106" t="str">
        <x:v>中3</x:v>
      </x:c>
      <x:c r="D625" s="106" t="str">
        <x:v>イオン</x:v>
      </x:c>
      <x:c r="E625" s="106" t="str">
        <x:v>用語</x:v>
      </x:c>
      <x:c r="F625" s="106" t="str">
        <x:v>A</x:v>
      </x:c>
      <x:c r="G625" s="106" t="str"/>
      <x:c r="H625" s="18" t="str">
        <x:v>塩化水素の電離（でんり）</x:v>
      </x:c>
      <x:c r="I625" s="18" t="str">
        <x:v>塩化水素HClが水に溶けるとH⁺とCl⁻に電離（でんり）し、塩酸になる。HCl→H⁺＋Cl⁻。酸性の共通性は主にH⁺による。つながり：塩酸／水素イオン／酸性</x:v>
      </x:c>
      <x:c r="J625" s="18" t="str">
        <x:v>塩酸／水素イオン／酸性</x:v>
      </x:c>
    </x:row>
    <x:row r="626" ht="62" customHeight="1">
      <x:c r="A626" s="106" t="str">
        <x:v>CHE-110</x:v>
      </x:c>
      <x:c r="B626" s="106" t="str">
        <x:v>化学</x:v>
      </x:c>
      <x:c r="C626" s="106" t="str">
        <x:v>中3</x:v>
      </x:c>
      <x:c r="D626" s="106" t="str">
        <x:v>イオン</x:v>
      </x:c>
      <x:c r="E626" s="106" t="str">
        <x:v>用語</x:v>
      </x:c>
      <x:c r="F626" s="106" t="str">
        <x:v>A</x:v>
      </x:c>
      <x:c r="G626" s="106" t="str"/>
      <x:c r="H626" s="18" t="str">
        <x:v>水酸化（さんか）ナトリウムの電離（でんり）</x:v>
      </x:c>
      <x:c r="I626" s="18" t="str">
        <x:v>NaOH→Na⁺＋OH⁻。水酸化（さんか）ナトリウム水溶液はOH⁻を生じるためアルカリ性を示す。固体や濃い水溶液は強い腐食性があるので皮膚に付けない。つながり：水酸化物イオン／アルカリ性／中和（ちゅうわ）</x:v>
      </x:c>
      <x:c r="J626" s="18" t="str">
        <x:v>水酸化物イオン／アルカリ性／中和ちゅうわ&lt;／rt&gt;&lt;／ruby&gt;</x:v>
      </x:c>
    </x:row>
    <x:row r="627" ht="62" customHeight="1">
      <x:c r="A627" s="106" t="str">
        <x:v>CHE-111</x:v>
      </x:c>
      <x:c r="B627" s="106" t="str">
        <x:v>化学</x:v>
      </x:c>
      <x:c r="C627" s="106" t="str">
        <x:v>中3</x:v>
      </x:c>
      <x:c r="D627" s="106" t="str">
        <x:v>イオン</x:v>
      </x:c>
      <x:c r="E627" s="106" t="str">
        <x:v>用語</x:v>
      </x:c>
      <x:c r="F627" s="106" t="str">
        <x:v>B</x:v>
      </x:c>
      <x:c r="G627" s="106" t="str"/>
      <x:c r="H627" s="18" t="str">
        <x:v>硫酸の電離（でんり）</x:v>
      </x:c>
      <x:c r="I627" s="18" t="str">
        <x:v>H₂SO₄→2H⁺＋SO₄²⁻。硫酸1個分からH⁺が2個分生じることと、硫酸イオンの電荷が2−であることを対応させる。つながり：硫酸イオン／水素イオン／酸性</x:v>
      </x:c>
      <x:c r="J627" s="18" t="str">
        <x:v>硫酸イオン／水素イオン／酸性</x:v>
      </x:c>
    </x:row>
    <x:row r="628" ht="62" customHeight="1">
      <x:c r="A628" s="106" t="str">
        <x:v>CHE-112</x:v>
      </x:c>
      <x:c r="B628" s="106" t="str">
        <x:v>化学</x:v>
      </x:c>
      <x:c r="C628" s="106" t="str">
        <x:v>中3</x:v>
      </x:c>
      <x:c r="D628" s="106" t="str">
        <x:v>イオン</x:v>
      </x:c>
      <x:c r="E628" s="106" t="str">
        <x:v>用語</x:v>
      </x:c>
      <x:c r="F628" s="106" t="str">
        <x:v>B</x:v>
      </x:c>
      <x:c r="G628" s="106" t="str"/>
      <x:c r="H628" s="18" t="str">
        <x:v>水酸化（さんか）カルシウムの電離（でんり）</x:v>
      </x:c>
      <x:c r="I628" s="18" t="str">
        <x:v>Ca(OH)₂→Ca²⁺＋2OH⁻。化学式中のかっこ外の2はOH全体が2組あることを示す。石灰水は水酸化（さんか）カルシウムの飽和水溶液（ほうわすいようえき）。つながり：水酸化物イオン／石灰水／アルカリ性</x:v>
      </x:c>
      <x:c r="J628" s="18" t="str">
        <x:v>水酸化物イオン／石灰水／アルカリ性</x:v>
      </x:c>
    </x:row>
    <x:row r="629" ht="62" customHeight="1">
      <x:c r="A629" s="106" t="str">
        <x:v>CHE-113</x:v>
      </x:c>
      <x:c r="B629" s="106" t="str">
        <x:v>化学</x:v>
      </x:c>
      <x:c r="C629" s="106" t="str">
        <x:v>中3</x:v>
      </x:c>
      <x:c r="D629" s="106" t="str">
        <x:v>酸・アルカリ</x:v>
      </x:c>
      <x:c r="E629" s="106" t="str">
        <x:v>用語</x:v>
      </x:c>
      <x:c r="F629" s="106" t="str">
        <x:v>A</x:v>
      </x:c>
      <x:c r="G629" s="106" t="n">
        <x:v>122</x:v>
      </x:c>
      <x:c r="H629" s="18" t="str">
        <x:v>酸の共通性</x:v>
      </x:c>
      <x:c r="I629" s="18" t="str">
        <x:v>水溶液中でH⁺を生じ、青色リトマス紙を赤にし、BTBを黄色にする。多くはマグネシウムなどの金属と反応して水素を発生させる。酸性を示すのは水溶液中。つながり：水素イオン／指示薬／水素</x:v>
      </x:c>
      <x:c r="J629" s="18" t="str">
        <x:v>水素イオン／指示薬／水素</x:v>
      </x:c>
    </x:row>
    <x:row r="630" ht="62" customHeight="1">
      <x:c r="A630" s="106" t="str">
        <x:v>CHE-114</x:v>
      </x:c>
      <x:c r="B630" s="106" t="str">
        <x:v>化学</x:v>
      </x:c>
      <x:c r="C630" s="106" t="str">
        <x:v>中3</x:v>
      </x:c>
      <x:c r="D630" s="106" t="str">
        <x:v>酸・アルカリ</x:v>
      </x:c>
      <x:c r="E630" s="106" t="str">
        <x:v>用語</x:v>
      </x:c>
      <x:c r="F630" s="106" t="str">
        <x:v>A</x:v>
      </x:c>
      <x:c r="G630" s="106" t="n">
        <x:v>135</x:v>
      </x:c>
      <x:c r="H630" s="18" t="str">
        <x:v>アルカリの共通性</x:v>
      </x:c>
      <x:c r="I630" s="18" t="str">
        <x:v>水溶液中でOH⁻を生じ、赤色リトマス紙を青にし、BTBを青にする。手触りを直接確かめてはいけない。水に溶ける塩基をアルカリという。つながり：水酸化（さんか）物イオン／指示薬／中和（ちゅうわ）</x:v>
      </x:c>
      <x:c r="J630" s="18" t="str">
        <x:v>水酸化さんか&lt;／rt&gt;&lt;／ruby&gt;物イオン／指示薬／中和ちゅうわ&lt;／rt&gt;&lt;／ruby&gt;</x:v>
      </x:c>
    </x:row>
    <x:row r="631" ht="62" customHeight="1">
      <x:c r="A631" s="106" t="str">
        <x:v>CHE-115</x:v>
      </x:c>
      <x:c r="B631" s="106" t="str">
        <x:v>化学</x:v>
      </x:c>
      <x:c r="C631" s="106" t="str">
        <x:v>中3</x:v>
      </x:c>
      <x:c r="D631" s="106" t="str">
        <x:v>酸・アルカリ</x:v>
      </x:c>
      <x:c r="E631" s="106" t="str">
        <x:v>因果</x:v>
      </x:c>
      <x:c r="F631" s="106" t="str">
        <x:v>B</x:v>
      </x:c>
      <x:c r="G631" s="106" t="str"/>
      <x:c r="H631" s="18" t="str">
        <x:v>酸性・アルカリ性と電流</x:v>
      </x:c>
      <x:c r="I631" s="18" t="str">
        <x:v>酸・アルカリの水溶液はイオンを含むため電流を通す。酸性・アルカリ性は色や味そのものではなく、H⁺・OH⁻など水溶液中の粒子に基づく性質。つながり：電解質（でんかいしつ）／水素イオン／水酸化（さんか）物イオン</x:v>
      </x:c>
      <x:c r="J631" s="18" t="str">
        <x:v>電解質でんかいしつ&lt;／rt&gt;&lt;／ruby&gt;／水素イオン／水酸化さんか&lt;／rt&gt;&lt;／ruby&gt;物イオン</x:v>
      </x:c>
    </x:row>
    <x:row r="632" ht="62" customHeight="1">
      <x:c r="A632" s="106" t="str">
        <x:v>CHE-116</x:v>
      </x:c>
      <x:c r="B632" s="106" t="str">
        <x:v>化学</x:v>
      </x:c>
      <x:c r="C632" s="106" t="str">
        <x:v>中3</x:v>
      </x:c>
      <x:c r="D632" s="106" t="str">
        <x:v>酸・アルカリ</x:v>
      </x:c>
      <x:c r="E632" s="106" t="str">
        <x:v>実験</x:v>
      </x:c>
      <x:c r="F632" s="106" t="str">
        <x:v>C</x:v>
      </x:c>
      <x:c r="G632" s="106" t="str"/>
      <x:c r="H632" s="18" t="str">
        <x:v>紫色キャベツ液の色</x:v>
      </x:c>
      <x:c r="I632" s="18" t="str">
        <x:v>天然の指示薬で、強い酸性では赤〜桃色、中性付近で紫、アルカリ性では青〜緑〜黄系に変化する。厳密な色は濃度や作り方で変わるので、既知液と比較する。つながり：指示薬／pH／酸性</x:v>
      </x:c>
      <x:c r="J632" s="18" t="str">
        <x:v>指示薬／pH／酸性</x:v>
      </x:c>
    </x:row>
    <x:row r="633" ht="62" customHeight="1">
      <x:c r="A633" s="106" t="str">
        <x:v>CHE-117</x:v>
      </x:c>
      <x:c r="B633" s="106" t="str">
        <x:v>化学</x:v>
      </x:c>
      <x:c r="C633" s="106" t="str">
        <x:v>中3</x:v>
      </x:c>
      <x:c r="D633" s="106" t="str">
        <x:v>中和</x:v>
      </x:c>
      <x:c r="E633" s="106" t="str">
        <x:v>用語</x:v>
      </x:c>
      <x:c r="F633" s="106" t="str">
        <x:v>A</x:v>
      </x:c>
      <x:c r="G633" s="106" t="n">
        <x:v>136</x:v>
      </x:c>
      <x:c r="H633" s="18" t="str">
        <x:v>中和（ちゅうわ）</x:v>
      </x:c>
      <x:c r="I633" s="18" t="str">
        <x:v>酸のH⁺とアルカリのOH⁻が反応して水になる反応。H⁺＋OH⁻→H₂O。同時に、残った陽イオン（よういおん）と陰イオン（いんいおん）から塩ができる。通常は発熱する。つながり：水素イオン／水酸化（さんか）物イオン／塩</x:v>
      </x:c>
      <x:c r="J633" s="18" t="str">
        <x:v>水素イオン／水酸化さんか&lt;／rt&gt;&lt;／ruby&gt;物イオン／塩</x:v>
      </x:c>
    </x:row>
    <x:row r="634" ht="62" customHeight="1">
      <x:c r="A634" s="106" t="str">
        <x:v>CHE-118</x:v>
      </x:c>
      <x:c r="B634" s="106" t="str">
        <x:v>化学</x:v>
      </x:c>
      <x:c r="C634" s="106" t="str">
        <x:v>中3</x:v>
      </x:c>
      <x:c r="D634" s="106" t="str">
        <x:v>中和</x:v>
      </x:c>
      <x:c r="E634" s="106" t="str">
        <x:v>誤解対策</x:v>
      </x:c>
      <x:c r="F634" s="106" t="str">
        <x:v>A</x:v>
      </x:c>
      <x:c r="G634" s="106" t="str"/>
      <x:c r="H634" s="18" t="str">
        <x:v>塩（化学）</x:v>
      </x:c>
      <x:c r="I634" s="18" t="str">
        <x:v>酸の陰イオン（いんいおん）とアルカリの陽イオン（よういおん）などからできる物質。塩酸と水酸化（さんか）ナトリウムでは塩化ナトリウム、硫酸と水酸化バリウムでは硫酸バリウムができる。「食塩」だけを指さない。つながり：中和（ちゅうわ）／塩化ナトリウム／硫酸バリウム</x:v>
      </x:c>
      <x:c r="J634" s="18" t="str">
        <x:v>中和ちゅうわ&lt;／rt&gt;&lt;／ruby&gt;／塩化ナトリウム／硫酸バリウム</x:v>
      </x:c>
    </x:row>
    <x:row r="635" ht="62" customHeight="1">
      <x:c r="A635" s="106" t="str">
        <x:v>CHE-119</x:v>
      </x:c>
      <x:c r="B635" s="106" t="str">
        <x:v>化学</x:v>
      </x:c>
      <x:c r="C635" s="106" t="str">
        <x:v>中3</x:v>
      </x:c>
      <x:c r="D635" s="106" t="str">
        <x:v>中和</x:v>
      </x:c>
      <x:c r="E635" s="106" t="str">
        <x:v>用語</x:v>
      </x:c>
      <x:c r="F635" s="106" t="str">
        <x:v>A</x:v>
      </x:c>
      <x:c r="G635" s="106" t="str"/>
      <x:c r="H635" s="18" t="str">
        <x:v>塩酸と水酸化（さんか）ナトリウムの中和（ちゅうわ）</x:v>
      </x:c>
      <x:c r="I635" s="18" t="str">
        <x:v>HCl＋NaOH→NaCl＋H₂O。イオンではH⁺＋OH⁻→H₂Oが実際の変化で、Na⁺とCl⁻は水溶液中に残る。水を蒸発させると食塩の結晶が得られる。つながり：中和（ちゅうわ）／塩化ナトリウム／イオン反応式</x:v>
      </x:c>
      <x:c r="J635" s="18" t="str">
        <x:v>中和ちゅうわ&lt;／rt&gt;&lt;／ruby&gt;／塩化ナトリウム／イオン反応式</x:v>
      </x:c>
    </x:row>
    <x:row r="636" ht="62" customHeight="1">
      <x:c r="A636" s="106" t="str">
        <x:v>CHE-120</x:v>
      </x:c>
      <x:c r="B636" s="106" t="str">
        <x:v>化学</x:v>
      </x:c>
      <x:c r="C636" s="106" t="str">
        <x:v>中3</x:v>
      </x:c>
      <x:c r="D636" s="106" t="str">
        <x:v>中和</x:v>
      </x:c>
      <x:c r="E636" s="106" t="str">
        <x:v>誤解対策</x:v>
      </x:c>
      <x:c r="F636" s="106" t="str">
        <x:v>A</x:v>
      </x:c>
      <x:c r="G636" s="106" t="n">
        <x:v>137</x:v>
      </x:c>
      <x:c r="H636" s="18" t="str">
        <x:v>中和（ちゅうわ）と中性の違い</x:v>
      </x:c>
      <x:c r="I636" s="18" t="str">
        <x:v>中和（ちゅうわ）はH⁺とOH⁻が反応する現象で、途中でも起こる。中性はH⁺とOH⁻が過不足なくなった状態。酸やアルカリが余れば、中和が起きていても液は酸性またはアルカリ性。つながり：過不足／pH／中和点</x:v>
      </x:c>
      <x:c r="J636" s="18" t="str">
        <x:v>過不足／pH／中和点</x:v>
      </x:c>
    </x:row>
    <x:row r="637" ht="62" customHeight="1">
      <x:c r="A637" s="106" t="str">
        <x:v>CHE-121</x:v>
      </x:c>
      <x:c r="B637" s="106" t="str">
        <x:v>化学</x:v>
      </x:c>
      <x:c r="C637" s="106" t="str">
        <x:v>中3</x:v>
      </x:c>
      <x:c r="D637" s="106" t="str">
        <x:v>中和</x:v>
      </x:c>
      <x:c r="E637" s="106" t="str">
        <x:v>実験</x:v>
      </x:c>
      <x:c r="F637" s="106" t="str">
        <x:v>A</x:v>
      </x:c>
      <x:c r="G637" s="106" t="str"/>
      <x:c r="H637" s="18" t="str">
        <x:v>中和（ちゅうわ）実験の操作</x:v>
      </x:c>
      <x:c r="I637" s="18" t="str">
        <x:v>一定量の酸へアルカリを少量ずつ加え、その都度よく混ぜ、指示薬の色やpHを調べる。こまごめピペットは先を液中へ入れたまま押し戻さず、試薬びんの液を汚染しない。つながり：指示薬／中和（ちゅうわ）点／滴下</x:v>
      </x:c>
      <x:c r="J637" s="18" t="str">
        <x:v>指示薬／中和ちゅうわ&lt;／rt&gt;&lt;／ruby&gt;点／滴下</x:v>
      </x:c>
    </x:row>
    <x:row r="638" ht="62" customHeight="1">
      <x:c r="A638" s="106" t="str">
        <x:v>CHE-122</x:v>
      </x:c>
      <x:c r="B638" s="106" t="str">
        <x:v>化学</x:v>
      </x:c>
      <x:c r="C638" s="106" t="str">
        <x:v>中3</x:v>
      </x:c>
      <x:c r="D638" s="106" t="str">
        <x:v>中和</x:v>
      </x:c>
      <x:c r="E638" s="106" t="str">
        <x:v>読図</x:v>
      </x:c>
      <x:c r="F638" s="106" t="str">
        <x:v>B</x:v>
      </x:c>
      <x:c r="G638" s="106" t="str"/>
      <x:c r="H638" s="18" t="str">
        <x:v>中和（ちゅうわ）と温度変化</x:v>
      </x:c>
      <x:c r="I638" s="18" t="str">
        <x:v>酸とアルカリを混ぜると中和（ちゅうわ）熱が出て温度が上がる。過不足なく反応する量付近で温度上昇が最大になりやすいが、実験では外部への放熱があるため手早く測る。つながり：発熱反応（はつねつはんのう）／中和点／熱損失</x:v>
      </x:c>
      <x:c r="J638" s="18" t="str">
        <x:v>発熱反応はつねつはんのう&lt;／rt&gt;&lt;／ruby&gt;／中和点／熱損失</x:v>
      </x:c>
    </x:row>
    <x:row r="639" ht="62" customHeight="1">
      <x:c r="A639" s="106" t="str">
        <x:v>CHE-123</x:v>
      </x:c>
      <x:c r="B639" s="106" t="str">
        <x:v>化学</x:v>
      </x:c>
      <x:c r="C639" s="106" t="str">
        <x:v>中3</x:v>
      </x:c>
      <x:c r="D639" s="106" t="str">
        <x:v>中和</x:v>
      </x:c>
      <x:c r="E639" s="106" t="str">
        <x:v>読図</x:v>
      </x:c>
      <x:c r="F639" s="106" t="str">
        <x:v>A</x:v>
      </x:c>
      <x:c r="G639" s="106" t="str"/>
      <x:c r="H639" s="18" t="str">
        <x:v>中和（ちゅうわ）過程のイオン数</x:v>
      </x:c>
      <x:c r="I639" s="18" t="str">
        <x:v>塩酸へNaOH水溶液を加えると、H⁺はOH⁻と反応して減り、Na⁺は加えた分だけ増え、Cl⁻は一定。中和（ちゅうわ）点後は余ったOH⁻が増える。全体の電気的中性は常に保たれる。つながり：水素イオン／水酸化（さんか）物イオン／中和点</x:v>
      </x:c>
      <x:c r="J639" s="18" t="str">
        <x:v>水素イオン／水酸化さんか&lt;／rt&gt;&lt;／ruby&gt;物イオン／中和点</x:v>
      </x:c>
    </x:row>
    <x:row r="640" ht="62" customHeight="1">
      <x:c r="A640" s="106" t="str">
        <x:v>CHE-124</x:v>
      </x:c>
      <x:c r="B640" s="106" t="str">
        <x:v>化学</x:v>
      </x:c>
      <x:c r="C640" s="106" t="str">
        <x:v>中3</x:v>
      </x:c>
      <x:c r="D640" s="106" t="str">
        <x:v>中和</x:v>
      </x:c>
      <x:c r="E640" s="106" t="str">
        <x:v>用語</x:v>
      </x:c>
      <x:c r="F640" s="106" t="str">
        <x:v>A</x:v>
      </x:c>
      <x:c r="G640" s="106" t="str"/>
      <x:c r="H640" s="18" t="str">
        <x:v>硫酸と水酸化（さんか）バリウムの反応</x:v>
      </x:c>
      <x:c r="I640" s="18" t="str">
        <x:v>H₂SO₄＋Ba(OH)₂→BaSO₄↓＋2H₂O。中和（ちゅうわ）で水ができると同時に、白色の硫酸バリウムが沈殿（ちんでん）する。過不足なく反応した点ではイオンが大きく減り、導電性も最小。つながり：中和／沈殿／硫酸バリウム</x:v>
      </x:c>
      <x:c r="J640" s="18" t="str">
        <x:v>中和／沈殿／硫酸バリウム</x:v>
      </x:c>
    </x:row>
    <x:row r="641" ht="62" customHeight="1">
      <x:c r="A641" s="106" t="str">
        <x:v>CHE-125</x:v>
      </x:c>
      <x:c r="B641" s="106" t="str">
        <x:v>化学</x:v>
      </x:c>
      <x:c r="C641" s="106" t="str">
        <x:v>中3</x:v>
      </x:c>
      <x:c r="D641" s="106" t="str">
        <x:v>イオン</x:v>
      </x:c>
      <x:c r="E641" s="106" t="str">
        <x:v>用語</x:v>
      </x:c>
      <x:c r="F641" s="106" t="str">
        <x:v>B</x:v>
      </x:c>
      <x:c r="G641" s="106" t="str"/>
      <x:c r="H641" s="18" t="str">
        <x:v>沈殿（ちんでん）</x:v>
      </x:c>
      <x:c r="I641" s="18" t="str">
        <x:v>水溶液中のイオン同士が結びつき、水に溶けにくい固体となって現れること。沈殿（ちんでん）は化学変化で、ろ過により液体から分けられる。色や組み合わせがイオン判定に使われる。つながり：イオン／ろ過／硫酸バリウム</x:v>
      </x:c>
      <x:c r="J641" s="18" t="str">
        <x:v>イオン／ろ過／硫酸バリウム</x:v>
      </x:c>
    </x:row>
    <x:row r="642" ht="62" customHeight="1">
      <x:c r="A642" s="106" t="str">
        <x:v>CHE-126</x:v>
      </x:c>
      <x:c r="B642" s="106" t="str">
        <x:v>化学</x:v>
      </x:c>
      <x:c r="C642" s="106" t="str">
        <x:v>中3</x:v>
      </x:c>
      <x:c r="D642" s="106" t="str">
        <x:v>電気分解</x:v>
      </x:c>
      <x:c r="E642" s="106" t="str">
        <x:v>実験</x:v>
      </x:c>
      <x:c r="F642" s="106" t="str">
        <x:v>A</x:v>
      </x:c>
      <x:c r="G642" s="106" t="str"/>
      <x:c r="H642" s="18" t="str">
        <x:v>塩化銅水溶液の電気分解</x:v>
      </x:c>
      <x:c r="I642" s="18" t="str">
        <x:v>炭素電極を用いる標準条件ではCuCl₂→Cu＋Cl₂。陰極（いんきょく）に銅、陽極（ようきょく）に有毒な塩素が生じ、青色はCu²⁺が減るほど薄くなる。少量を十分な換気下で扱い、塩素を直接かがない。つながり：銅イオン／塩化物イオン／電極</x:v>
      </x:c>
      <x:c r="J642" s="18" t="str">
        <x:v>銅イオン／塩化物イオン／電極</x:v>
      </x:c>
    </x:row>
    <x:row r="643" ht="62" customHeight="1">
      <x:c r="A643" s="106" t="str">
        <x:v>CHE-127</x:v>
      </x:c>
      <x:c r="B643" s="106" t="str">
        <x:v>化学</x:v>
      </x:c>
      <x:c r="C643" s="106" t="str">
        <x:v>中3</x:v>
      </x:c>
      <x:c r="D643" s="106" t="str">
        <x:v>電気分解</x:v>
      </x:c>
      <x:c r="E643" s="106" t="str">
        <x:v>誤解対策</x:v>
      </x:c>
      <x:c r="F643" s="106" t="str">
        <x:v>A</x:v>
      </x:c>
      <x:c r="G643" s="106" t="str"/>
      <x:c r="H643" s="18" t="str">
        <x:v>電気分解の陰極（いんきょく）</x:v>
      </x:c>
      <x:c r="I643" s="18" t="str">
        <x:v>電源の−極につながる電極。陽イオン（よういおん）が引かれ、電子を受け取る。塩化銅水溶液ではCu²⁺＋2e⁻→Cuとなり銅が析出（せきしゅつ）する。「陰極（いんきょく）＝陰イオン（いんいおん）が来る」は誤り。つながり：陽イオン／電子／銅析出</x:v>
      </x:c>
      <x:c r="J643" s="18" t="str">
        <x:v>陽イオン／電子／銅析出</x:v>
      </x:c>
    </x:row>
    <x:row r="644" ht="62" customHeight="1">
      <x:c r="A644" s="106" t="str">
        <x:v>CHE-128</x:v>
      </x:c>
      <x:c r="B644" s="106" t="str">
        <x:v>化学</x:v>
      </x:c>
      <x:c r="C644" s="106" t="str">
        <x:v>中3</x:v>
      </x:c>
      <x:c r="D644" s="106" t="str">
        <x:v>電気分解</x:v>
      </x:c>
      <x:c r="E644" s="106" t="str">
        <x:v>用語</x:v>
      </x:c>
      <x:c r="F644" s="106" t="str">
        <x:v>A</x:v>
      </x:c>
      <x:c r="G644" s="106" t="str"/>
      <x:c r="H644" s="18" t="str">
        <x:v>電気分解の陽極（ようきょく）</x:v>
      </x:c>
      <x:c r="I644" s="18" t="str">
        <x:v>電源の＋極につながる電極。陰イオン（いんいおん）が引かれ、電子を放出する。塩化銅水溶液では2Cl⁻→Cl₂＋2e⁻となり塩素が発生する。つながり：陰イオン／電子放出／塩素</x:v>
      </x:c>
      <x:c r="J644" s="18" t="str">
        <x:v>陰イオン／電子放出／塩素</x:v>
      </x:c>
    </x:row>
    <x:row r="645" ht="62" customHeight="1">
      <x:c r="A645" s="106" t="str">
        <x:v>CHE-129</x:v>
      </x:c>
      <x:c r="B645" s="106" t="str">
        <x:v>化学</x:v>
      </x:c>
      <x:c r="C645" s="106" t="str">
        <x:v>中3</x:v>
      </x:c>
      <x:c r="D645" s="106" t="str">
        <x:v>電気分解</x:v>
      </x:c>
      <x:c r="E645" s="106" t="str">
        <x:v>用語</x:v>
      </x:c>
      <x:c r="F645" s="106" t="str">
        <x:v>B</x:v>
      </x:c>
      <x:c r="G645" s="106" t="str"/>
      <x:c r="H645" s="18" t="str">
        <x:v>塩酸の電気分解</x:v>
      </x:c>
      <x:c r="I645" s="18" t="str">
        <x:v>適切な濃度の塩酸を炭素電極で電気分解する学校実験では、2HCl→H₂＋Cl₂。陰極（いんきょく）でH⁺から水素、陽極（ようきょく）でCl⁻から塩素が生じる。換気し、塩素を直接かがない。つながり：水素イオン／塩化物イオン／電極</x:v>
      </x:c>
      <x:c r="J645" s="18" t="str">
        <x:v>水素イオン／塩化物イオン／電極</x:v>
      </x:c>
    </x:row>
    <x:row r="646" ht="62" customHeight="1">
      <x:c r="A646" s="106" t="str">
        <x:v>CHE-130</x:v>
      </x:c>
      <x:c r="B646" s="106" t="str">
        <x:v>化学</x:v>
      </x:c>
      <x:c r="C646" s="106" t="str">
        <x:v>中3</x:v>
      </x:c>
      <x:c r="D646" s="106" t="str">
        <x:v>電池</x:v>
      </x:c>
      <x:c r="E646" s="106" t="str">
        <x:v>用語</x:v>
      </x:c>
      <x:c r="F646" s="106" t="str">
        <x:v>A</x:v>
      </x:c>
      <x:c r="G646" s="106" t="n">
        <x:v>138</x:v>
      </x:c>
      <x:c r="H646" s="18" t="str">
        <x:v>化学電池</x:v>
      </x:c>
      <x:c r="I646" s="18" t="str">
        <x:v>酸化（さんか）還元（かんげん）反応の化学エネルギーを電気エネルギーへ変える装置。中学で扱う基本的な金属電池では、2種類の金属などと電解質（でんかいしつ）水溶液を用い、イオンになりやすさの差で電子を流す。つながり：酸化還元／電解質／電子</x:v>
      </x:c>
      <x:c r="J646" s="18" t="str">
        <x:v>酸化還元／電解質／電子</x:v>
      </x:c>
    </x:row>
    <x:row r="647" ht="62" customHeight="1">
      <x:c r="A647" s="106" t="str">
        <x:v>CHE-131</x:v>
      </x:c>
      <x:c r="B647" s="106" t="str">
        <x:v>化学</x:v>
      </x:c>
      <x:c r="C647" s="106" t="str">
        <x:v>中3</x:v>
      </x:c>
      <x:c r="D647" s="106" t="str">
        <x:v>電池</x:v>
      </x:c>
      <x:c r="E647" s="106" t="str">
        <x:v>用語</x:v>
      </x:c>
      <x:c r="F647" s="106" t="str">
        <x:v>A</x:v>
      </x:c>
      <x:c r="G647" s="106" t="str"/>
      <x:c r="H647" s="18" t="str">
        <x:v>亜鉛（あえん）板と銅板の基本電池</x:v>
      </x:c>
      <x:c r="I647" s="18" t="str">
        <x:v>うすい塩酸などに亜鉛（あえん）板と銅板を入れると、亜鉛はZn→Zn²⁺＋2e⁻となる。電子は亜鉛板（−極）から銅板（＋極）へ流れ、銅板側ではH⁺が電子を受け取って水素になる。つながり：亜鉛イオン／水素イオン／極性</x:v>
      </x:c>
      <x:c r="J647" s="18" t="str">
        <x:v>亜鉛イオン／水素イオン／極性</x:v>
      </x:c>
    </x:row>
    <x:row r="648" ht="62" customHeight="1">
      <x:c r="A648" s="106" t="str">
        <x:v>CHE-132</x:v>
      </x:c>
      <x:c r="B648" s="106" t="str">
        <x:v>化学</x:v>
      </x:c>
      <x:c r="C648" s="106" t="str">
        <x:v>中3</x:v>
      </x:c>
      <x:c r="D648" s="106" t="str">
        <x:v>電池</x:v>
      </x:c>
      <x:c r="E648" s="106" t="str">
        <x:v>誤解対策</x:v>
      </x:c>
      <x:c r="F648" s="106" t="str">
        <x:v>A</x:v>
      </x:c>
      <x:c r="G648" s="106" t="n">
        <x:v>139</x:v>
      </x:c>
      <x:c r="H648" s="18" t="str">
        <x:v>電池内の電子と電流の向き</x:v>
      </x:c>
      <x:c r="I648" s="18" t="str">
        <x:v>外部回路の電子は−極から＋極へ流れ、電流の向きはその逆で＋極から−極。電解質（でんかいしつ）中ではイオンが移動して電荷の偏りを防ぎ、回路を成立させる。つながり：電子／電流／イオン移動</x:v>
      </x:c>
      <x:c r="J648" s="18" t="str">
        <x:v>電子／電流／イオン移動</x:v>
      </x:c>
    </x:row>
    <x:row r="649" ht="62" customHeight="1">
      <x:c r="A649" s="106" t="str">
        <x:v>CHE-133</x:v>
      </x:c>
      <x:c r="B649" s="106" t="str">
        <x:v>化学</x:v>
      </x:c>
      <x:c r="C649" s="106" t="str">
        <x:v>中3</x:v>
      </x:c>
      <x:c r="D649" s="106" t="str">
        <x:v>電池</x:v>
      </x:c>
      <x:c r="E649" s="106" t="str">
        <x:v>比較</x:v>
      </x:c>
      <x:c r="F649" s="106" t="str">
        <x:v>A</x:v>
      </x:c>
      <x:c r="G649" s="106" t="str"/>
      <x:c r="H649" s="18" t="str">
        <x:v>電池と電気分解の電極記号</x:v>
      </x:c>
      <x:c r="I649" s="18" t="str">
        <x:v>化学電池では電子を出す極が−極、受け取る側が＋極。電気分解では外部電源の−極につながるのが陰極（いんきょく）、＋極につながるのが陽極（ようきょく）。名称を機械的に同一視しない。つながり：陽極／陰極／化学電池</x:v>
      </x:c>
      <x:c r="J649" s="18" t="str">
        <x:v>陽極／陰極／化学電池</x:v>
      </x:c>
    </x:row>
    <x:row r="650" ht="62" customHeight="1">
      <x:c r="A650" s="106" t="str">
        <x:v>CHE-134</x:v>
      </x:c>
      <x:c r="B650" s="106" t="str">
        <x:v>化学</x:v>
      </x:c>
      <x:c r="C650" s="106" t="str">
        <x:v>中3</x:v>
      </x:c>
      <x:c r="D650" s="106" t="str">
        <x:v>電池</x:v>
      </x:c>
      <x:c r="E650" s="106" t="str">
        <x:v>比較</x:v>
      </x:c>
      <x:c r="F650" s="106" t="str">
        <x:v>B</x:v>
      </x:c>
      <x:c r="G650" s="106" t="str"/>
      <x:c r="H650" s="18" t="str">
        <x:v>一次電池と二次電池</x:v>
      </x:c>
      <x:c r="I650" s="18" t="str">
        <x:v>一次電池は基本的に使い切り、二次電池は外部から電流を流して反応を逆向きに進め、充電して繰り返し使える。充電しても劣化は進み、エネルギーが無限に戻るわけではない。つながり：充電／化学反応／エネルギー変換</x:v>
      </x:c>
      <x:c r="J650" s="18" t="str">
        <x:v>充電／化学反応／エネルギー変換</x:v>
      </x:c>
    </x:row>
    <x:row r="651" ht="62" customHeight="1">
      <x:c r="A651" s="106" t="str">
        <x:v>CHE-135</x:v>
      </x:c>
      <x:c r="B651" s="106" t="str">
        <x:v>化学</x:v>
      </x:c>
      <x:c r="C651" s="106" t="str">
        <x:v>中3</x:v>
      </x:c>
      <x:c r="D651" s="106" t="str">
        <x:v>電池</x:v>
      </x:c>
      <x:c r="E651" s="106" t="str">
        <x:v>用語</x:v>
      </x:c>
      <x:c r="F651" s="106" t="str">
        <x:v>B</x:v>
      </x:c>
      <x:c r="G651" s="106" t="str"/>
      <x:c r="H651" s="18" t="str">
        <x:v>燃料電池</x:v>
      </x:c>
      <x:c r="I651" s="18" t="str">
        <x:v>水素と酸素を連続的に供給して反応させ、電気エネルギーを取り出す。全体では2H₂＋O₂→2H₂O。発電時の主生成物は水だが、水素の製造・輸送も含め環境影響を考える。つながり：水素／酸素／エネルギー変換</x:v>
      </x:c>
      <x:c r="J651" s="18" t="str">
        <x:v>水素／酸素／エネルギー変換</x:v>
      </x:c>
    </x:row>
    <x:row r="652" ht="62" customHeight="1">
      <x:c r="A652" s="106" t="str">
        <x:v>CHE-136</x:v>
      </x:c>
      <x:c r="B652" s="106" t="str">
        <x:v>化学</x:v>
      </x:c>
      <x:c r="C652" s="106" t="str">
        <x:v>中3</x:v>
      </x:c>
      <x:c r="D652" s="106" t="str">
        <x:v>酸・アルカリ</x:v>
      </x:c>
      <x:c r="E652" s="106" t="str">
        <x:v>比較</x:v>
      </x:c>
      <x:c r="F652" s="106" t="str">
        <x:v>A</x:v>
      </x:c>
      <x:c r="G652" s="106" t="str"/>
      <x:c r="H652" s="18" t="str">
        <x:v>酸と金属の反応</x:v>
      </x:c>
      <x:c r="I652" s="18" t="str">
        <x:v>うすい塩酸や硫酸は、マグネシウム・亜鉛（あえん）・鉄などと反応して水素を発生させ、金属イオンを含む塩をつくる。銅はうすい塩酸とは通常反応しない。つながり：水素／金属イオン／塩</x:v>
      </x:c>
      <x:c r="J652" s="18" t="str">
        <x:v>水素／金属イオン／塩</x:v>
      </x:c>
    </x:row>
    <x:row r="653" ht="62" customHeight="1">
      <x:c r="A653" s="106" t="str">
        <x:v>CHE-137</x:v>
      </x:c>
      <x:c r="B653" s="106" t="str">
        <x:v>化学</x:v>
      </x:c>
      <x:c r="C653" s="106" t="str">
        <x:v>中3</x:v>
      </x:c>
      <x:c r="D653" s="106" t="str">
        <x:v>酸・アルカリ</x:v>
      </x:c>
      <x:c r="E653" s="106" t="str">
        <x:v>用語</x:v>
      </x:c>
      <x:c r="F653" s="106" t="str">
        <x:v>A</x:v>
      </x:c>
      <x:c r="G653" s="106" t="str"/>
      <x:c r="H653" s="18" t="str">
        <x:v>炭酸塩と酸の反応</x:v>
      </x:c>
      <x:c r="I653" s="18" t="str">
        <x:v>炭酸カルシウムや炭酸水素ナトリウムなどへ酸を加えると二酸化（さんか）炭素が発生する。発生気体は石灰水を白く濁らせて確認する。つながり：二酸化炭素／石灰水／炭酸カルシウム</x:v>
      </x:c>
      <x:c r="J653" s="18" t="str">
        <x:v>二酸化炭素／石灰水／炭酸カルシウム</x:v>
      </x:c>
    </x:row>
    <x:row r="654" ht="62" customHeight="1">
      <x:c r="A654" s="106" t="str">
        <x:v>CHE-138</x:v>
      </x:c>
      <x:c r="B654" s="106" t="str">
        <x:v>化学</x:v>
      </x:c>
      <x:c r="C654" s="106" t="str">
        <x:v>中3</x:v>
      </x:c>
      <x:c r="D654" s="106" t="str">
        <x:v>酸・アルカリ</x:v>
      </x:c>
      <x:c r="E654" s="106" t="str">
        <x:v>用語</x:v>
      </x:c>
      <x:c r="F654" s="106" t="str">
        <x:v>B</x:v>
      </x:c>
      <x:c r="G654" s="106" t="str"/>
      <x:c r="H654" s="18" t="str">
        <x:v>アンモニウム塩とアルカリ</x:v>
      </x:c>
      <x:c r="I654" s="18" t="str">
        <x:v>塩化アンモニウムなどのアンモニウム塩へ強いアルカリを加えて加熱すると、刺激臭のアンモニアが発生する。NH₄⁺とOH⁻からNH₃とH₂Oができる。つながり：アンモニウムイオン／アンモニア／水酸化（さんか）物イオン</x:v>
      </x:c>
      <x:c r="J654" s="18" t="str">
        <x:v>アンモニウムイオン／アンモニア／水酸化さんか&lt;／rt&gt;&lt;／ruby&gt;物イオン</x:v>
      </x:c>
    </x:row>
    <x:row r="655" ht="62" customHeight="1">
      <x:c r="A655" s="106" t="str">
        <x:v>CHE-141</x:v>
      </x:c>
      <x:c r="B655" s="106" t="str">
        <x:v>化学</x:v>
      </x:c>
      <x:c r="C655" s="106" t="str">
        <x:v>中3</x:v>
      </x:c>
      <x:c r="D655" s="106" t="str">
        <x:v>原子の構造</x:v>
      </x:c>
      <x:c r="E655" s="106" t="str">
        <x:v>用語</x:v>
      </x:c>
      <x:c r="F655" s="106" t="str">
        <x:v>A</x:v>
      </x:c>
      <x:c r="G655" s="106" t="n">
        <x:v>149</x:v>
      </x:c>
      <x:c r="H655" s="18" t="str">
        <x:v>原子核（げんしかく）と電子</x:v>
      </x:c>
      <x:c r="I655" s="18" t="str">
        <x:v>原子は中心の非常に小さい原子核（げんしかく）と、その周囲にある電子からできる。原子核は陽子（ようし）と中性子（ちゅうせいし）からなり、原子の質量のほとんどが集まる。つながり：陽子／中性子／電子</x:v>
      </x:c>
      <x:c r="J655" s="18" t="str">
        <x:v>陽子／中性子／電子</x:v>
      </x:c>
    </x:row>
    <x:row r="656" ht="62" customHeight="1">
      <x:c r="A656" s="106" t="str">
        <x:v>CHE-142</x:v>
      </x:c>
      <x:c r="B656" s="106" t="str">
        <x:v>化学</x:v>
      </x:c>
      <x:c r="C656" s="106" t="str">
        <x:v>中3</x:v>
      </x:c>
      <x:c r="D656" s="106" t="str">
        <x:v>原子の構造</x:v>
      </x:c>
      <x:c r="E656" s="106" t="str">
        <x:v>比較</x:v>
      </x:c>
      <x:c r="F656" s="106" t="str">
        <x:v>A</x:v>
      </x:c>
      <x:c r="G656" s="106" t="n">
        <x:v>150</x:v>
      </x:c>
      <x:c r="H656" s="18" t="str">
        <x:v>陽子（ようし）と中性子（ちゅうせいし）</x:v>
      </x:c>
      <x:c r="I656" s="18" t="str">
        <x:v>どちらも原子核（げんしかく）をつくり、質量はほぼ同程度。陽子（ようし）は＋の電気をもち、中性子（ちゅうせいし）は電気をもたない。陽子数が元素の種類を決める。つながり：原子核／原子番号／同位体（どういたい）</x:v>
      </x:c>
      <x:c r="J656" s="18" t="str">
        <x:v>原子核／原子番号／同位体どういたい&lt;／rt&gt;&lt;／ruby&gt;</x:v>
      </x:c>
    </x:row>
    <x:row r="657" ht="62" customHeight="1">
      <x:c r="A657" s="106" t="str">
        <x:v>CHE-143</x:v>
      </x:c>
      <x:c r="B657" s="106" t="str">
        <x:v>化学</x:v>
      </x:c>
      <x:c r="C657" s="106" t="str">
        <x:v>中3</x:v>
      </x:c>
      <x:c r="D657" s="106" t="str">
        <x:v>原子の構造</x:v>
      </x:c>
      <x:c r="E657" s="106" t="str">
        <x:v>用語</x:v>
      </x:c>
      <x:c r="F657" s="106" t="str">
        <x:v>A</x:v>
      </x:c>
      <x:c r="G657" s="106" t="str"/>
      <x:c r="H657" s="18" t="str">
        <x:v>電子</x:v>
      </x:c>
      <x:c r="I657" s="18" t="str">
        <x:v>−の電気をもつ非常に軽い粒子で、原子核（げんしかく）の周囲にある。化学変化やイオン形成では電子が移動するが、陽子（ようし）や中性子（ちゅうせいし）が原子間を移るわけではない。つながり：陰イオン（いんいおん）／陽イオン（よういおん）／電流</x:v>
      </x:c>
      <x:c r="J657" s="18" t="str">
        <x:v>陰イオンいんいおん&lt;／rt&gt;&lt;／ruby&gt;／陽イオンよういおん&lt;／rt&gt;&lt;／ruby&gt;／電流</x:v>
      </x:c>
    </x:row>
    <x:row r="658" ht="62" customHeight="1">
      <x:c r="A658" s="106" t="str">
        <x:v>CHE-144</x:v>
      </x:c>
      <x:c r="B658" s="106" t="str">
        <x:v>化学</x:v>
      </x:c>
      <x:c r="C658" s="106" t="str">
        <x:v>中3</x:v>
      </x:c>
      <x:c r="D658" s="106" t="str">
        <x:v>原子の構造</x:v>
      </x:c>
      <x:c r="E658" s="106" t="str">
        <x:v>用語</x:v>
      </x:c>
      <x:c r="F658" s="106" t="str">
        <x:v>A</x:v>
      </x:c>
      <x:c r="G658" s="106" t="str"/>
      <x:c r="H658" s="18" t="str">
        <x:v>原子番号と中性原子</x:v>
      </x:c>
      <x:c r="I658" s="18" t="str">
        <x:v>原子番号は原子核（げんしかく）内の陽子（ようし）数で、元素ごとに決まる。電気的に中性な原子では陽子数＝電子数。イオンになっても陽子数は変わらず、電子数だけが変わる。つながり：陽子数／電子数／元素</x:v>
      </x:c>
      <x:c r="J658" s="18" t="str">
        <x:v>陽子数／電子数／元素</x:v>
      </x:c>
    </x:row>
    <x:row r="659" ht="62" customHeight="1">
      <x:c r="A659" s="106" t="str">
        <x:v>CHE-145</x:v>
      </x:c>
      <x:c r="B659" s="106" t="str">
        <x:v>化学</x:v>
      </x:c>
      <x:c r="C659" s="106" t="str">
        <x:v>中3</x:v>
      </x:c>
      <x:c r="D659" s="106" t="str">
        <x:v>原子の構造</x:v>
      </x:c>
      <x:c r="E659" s="106" t="str">
        <x:v>比較</x:v>
      </x:c>
      <x:c r="F659" s="106" t="str">
        <x:v>C</x:v>
      </x:c>
      <x:c r="G659" s="106" t="str"/>
      <x:c r="H659" s="18" t="str">
        <x:v>同位体（どういたい）</x:v>
      </x:c>
      <x:c r="I659" s="18" t="str">
        <x:v>陽子（ようし）数が同じで中性子（ちゅうせいし）数が異なる、同じ元素の原子。同じ元素なので化学的性質はよく似るが、質量は異なる。同位体（どういたい）の中には放射線（ほうしゃせん）を出すものもある。つながり：陽子／中性子／放射性同位体</x:v>
      </x:c>
      <x:c r="J659" s="18" t="str">
        <x:v>陽子／中性子／放射性同位体</x:v>
      </x:c>
    </x:row>
    <x:row r="660" ht="62" customHeight="1">
      <x:c r="A660" s="106" t="str">
        <x:v>CHE-148</x:v>
      </x:c>
      <x:c r="B660" s="106" t="str">
        <x:v>化学</x:v>
      </x:c>
      <x:c r="C660" s="106" t="str">
        <x:v>中3</x:v>
      </x:c>
      <x:c r="D660" s="106" t="str">
        <x:v>イオン</x:v>
      </x:c>
      <x:c r="E660" s="106" t="str">
        <x:v>用語</x:v>
      </x:c>
      <x:c r="F660" s="106" t="str">
        <x:v>A</x:v>
      </x:c>
      <x:c r="G660" s="106" t="str"/>
      <x:c r="H660" s="18" t="str">
        <x:v>金属のイオンへのなりやすさ</x:v>
      </x:c>
      <x:c r="I660" s="18" t="str">
        <x:v>金属原子が電子を失って陽イオン（よういおん）になろうとする程度。なりやすい金属ほど電子を放出しやすく、他の金属イオンへ電子を渡してその金属を析出（せきしゅつ）させることがある。つながり：陽イオン／電子／金属の置換</x:v>
      </x:c>
      <x:c r="J660" s="18" t="str">
        <x:v>陽イオン／電子／金属の置換</x:v>
      </x:c>
    </x:row>
    <x:row r="661" ht="62" customHeight="1">
      <x:c r="A661" s="106" t="str">
        <x:v>CHE-149</x:v>
      </x:c>
      <x:c r="B661" s="106" t="str">
        <x:v>化学</x:v>
      </x:c>
      <x:c r="C661" s="106" t="str">
        <x:v>中3</x:v>
      </x:c>
      <x:c r="D661" s="106" t="str">
        <x:v>イオン</x:v>
      </x:c>
      <x:c r="E661" s="106" t="str">
        <x:v>比較</x:v>
      </x:c>
      <x:c r="F661" s="106" t="str">
        <x:v>A</x:v>
      </x:c>
      <x:c r="G661" s="106" t="str"/>
      <x:c r="H661" s="18" t="str">
        <x:v>Mg・Zn・Fe・Cu・Agのイオン化順</x:v>
      </x:c>
      <x:c r="I661" s="18" t="str">
        <x:v>中学でよく比べる範囲では、イオンになりやすい順にMg＞Zn＞Fe＞Cu＞Ag。左ほど電子を失いやすく、右側の金属イオンを含む水溶液から金属を析出（せきしゅつ）させやすい。つながり：マグネシウム／亜鉛（あえん）／銅イオン</x:v>
      </x:c>
      <x:c r="J661" s="18" t="str">
        <x:v>マグネシウム／亜鉛あえん&lt;／rt&gt;&lt;／ruby&gt;／銅イオン</x:v>
      </x:c>
    </x:row>
    <x:row r="662" ht="62" customHeight="1">
      <x:c r="A662" s="106" t="str">
        <x:v>CHE-150</x:v>
      </x:c>
      <x:c r="B662" s="106" t="str">
        <x:v>化学</x:v>
      </x:c>
      <x:c r="C662" s="106" t="str">
        <x:v>中3</x:v>
      </x:c>
      <x:c r="D662" s="106" t="str">
        <x:v>イオン</x:v>
      </x:c>
      <x:c r="E662" s="106" t="str">
        <x:v>因果</x:v>
      </x:c>
      <x:c r="F662" s="106" t="str">
        <x:v>A</x:v>
      </x:c>
      <x:c r="G662" s="106" t="str"/>
      <x:c r="H662" s="18" t="str">
        <x:v>金属と金属イオンの置換条件</x:v>
      </x:c>
      <x:c r="I662" s="18" t="str">
        <x:v>金属Aが金属Bよりイオンになりやすければ、AをBのイオンを含む水溶液へ入れると、Aは電子を失って溶け、Bのイオンは電子を受け取りBとして析出（せきしゅつ）する。逆の組合せでは起こらない。つながり：電子移動／酸化（さんか）還元（かんげん）／析出</x:v>
      </x:c>
      <x:c r="J662" s="18" t="str">
        <x:v>電子移動／酸化さんか&lt;／rt&gt;&lt;／ruby&gt;還元かんげん&lt;／rt&gt;&lt;／ruby&gt;／析出</x:v>
      </x:c>
    </x:row>
    <x:row r="663" ht="62" customHeight="1">
      <x:c r="A663" s="106" t="str">
        <x:v>CHE-151</x:v>
      </x:c>
      <x:c r="B663" s="106" t="str">
        <x:v>化学</x:v>
      </x:c>
      <x:c r="C663" s="106" t="str">
        <x:v>中3</x:v>
      </x:c>
      <x:c r="D663" s="106" t="str">
        <x:v>イオン</x:v>
      </x:c>
      <x:c r="E663" s="106" t="str">
        <x:v>実験</x:v>
      </x:c>
      <x:c r="F663" s="106" t="str">
        <x:v>A</x:v>
      </x:c>
      <x:c r="G663" s="106" t="str"/>
      <x:c r="H663" s="18" t="str">
        <x:v>亜鉛（あえん）と硫酸銅水溶液の反応</x:v>
      </x:c>
      <x:c r="I663" s="18" t="str">
        <x:v>Zn＋Cu²⁺→Zn²⁺＋Cu。亜鉛（あえん）は溶け、Cu²⁺は赤色の銅として付着し、青色が薄くなる。保護眼鏡を着け、付着時は水洗いし、銅を含む廃液は流さず指定容器へ回収する。つながり：金属の置換／銅イオン／酸化（さんか）還元（かんげん）</x:v>
      </x:c>
      <x:c r="J663" s="18" t="str">
        <x:v>金属の置換／銅イオン／酸化さんか&lt;／rt&gt;&lt;／ruby&gt;還元かんげん&lt;／rt&gt;&lt;／ruby&gt;</x:v>
      </x:c>
    </x:row>
    <x:row r="664" ht="62" customHeight="1">
      <x:c r="A664" s="106" t="str">
        <x:v>CHE-152</x:v>
      </x:c>
      <x:c r="B664" s="106" t="str">
        <x:v>化学</x:v>
      </x:c>
      <x:c r="C664" s="106" t="str">
        <x:v>中3</x:v>
      </x:c>
      <x:c r="D664" s="106" t="str">
        <x:v>電池</x:v>
      </x:c>
      <x:c r="E664" s="106" t="str">
        <x:v>用語</x:v>
      </x:c>
      <x:c r="F664" s="106" t="str">
        <x:v>A</x:v>
      </x:c>
      <x:c r="G664" s="106" t="str"/>
      <x:c r="H664" s="18" t="str">
        <x:v>ダニエル電池のつくり</x:v>
      </x:c>
      <x:c r="I664" s="18" t="str">
        <x:v>亜鉛（あえん）板を硫酸亜鉛水溶液、銅板を硫酸銅水溶液へ入れ、溶液をイオンが通れる仕切りで分け、金属板を導線で結ぶ。亜鉛極が−、銅極が＋。つながり：亜鉛極／銅極／仕切り</x:v>
      </x:c>
      <x:c r="J664" s="18" t="str">
        <x:v>亜鉛極／銅極／仕切り</x:v>
      </x:c>
    </x:row>
    <x:row r="665" ht="62" customHeight="1">
      <x:c r="A665" s="106" t="str">
        <x:v>CHE-153</x:v>
      </x:c>
      <x:c r="B665" s="106" t="str">
        <x:v>化学</x:v>
      </x:c>
      <x:c r="C665" s="106" t="str">
        <x:v>中3</x:v>
      </x:c>
      <x:c r="D665" s="106" t="str">
        <x:v>電池</x:v>
      </x:c>
      <x:c r="E665" s="106" t="str">
        <x:v>用語</x:v>
      </x:c>
      <x:c r="F665" s="106" t="str">
        <x:v>A</x:v>
      </x:c>
      <x:c r="G665" s="106" t="str"/>
      <x:c r="H665" s="18" t="str">
        <x:v>ダニエル電池の亜鉛（あえん）極</x:v>
      </x:c>
      <x:c r="I665" s="18" t="str">
        <x:v>亜鉛（あえん）原子が電子を2個放出して亜鉛イオンになる。Zn→Zn²⁺＋2e⁻。亜鉛板は少しずつ溶け、電子を外部回路へ送り出す−極である。つながり：酸化（さんか）／負極／電子放出</x:v>
      </x:c>
      <x:c r="J665" s="18" t="str">
        <x:v>酸化さんか&lt;／rt&gt;&lt;／ruby&gt;／負極／電子放出</x:v>
      </x:c>
    </x:row>
    <x:row r="666" ht="62" customHeight="1">
      <x:c r="A666" s="106" t="str">
        <x:v>CHE-154</x:v>
      </x:c>
      <x:c r="B666" s="106" t="str">
        <x:v>化学</x:v>
      </x:c>
      <x:c r="C666" s="106" t="str">
        <x:v>中3</x:v>
      </x:c>
      <x:c r="D666" s="106" t="str">
        <x:v>電池</x:v>
      </x:c>
      <x:c r="E666" s="106" t="str">
        <x:v>用語</x:v>
      </x:c>
      <x:c r="F666" s="106" t="str">
        <x:v>A</x:v>
      </x:c>
      <x:c r="G666" s="106" t="str"/>
      <x:c r="H666" s="18" t="str">
        <x:v>ダニエル電池の銅極</x:v>
      </x:c>
      <x:c r="I666" s="18" t="str">
        <x:v>硫酸銅水溶液のCu²⁺が電子を2個受け取り、銅板上へ銅として析出（せきしゅつ）する。Cu²⁺＋2e⁻→Cu。外部回路から電子を受け取る＋極である。つながり：還元（かんげん）／正極／銅イオン</x:v>
      </x:c>
      <x:c r="J666" s="18" t="str">
        <x:v>還元かんげん&lt;／rt&gt;&lt;／ruby&gt;／正極／銅イオン</x:v>
      </x:c>
    </x:row>
    <x:row r="667" ht="62" customHeight="1">
      <x:c r="A667" s="106" t="str">
        <x:v>CHE-155</x:v>
      </x:c>
      <x:c r="B667" s="106" t="str">
        <x:v>化学</x:v>
      </x:c>
      <x:c r="C667" s="106" t="str">
        <x:v>中3</x:v>
      </x:c>
      <x:c r="D667" s="106" t="str">
        <x:v>電池</x:v>
      </x:c>
      <x:c r="E667" s="106" t="str">
        <x:v>誤解対策</x:v>
      </x:c>
      <x:c r="F667" s="106" t="str">
        <x:v>A</x:v>
      </x:c>
      <x:c r="G667" s="106" t="str"/>
      <x:c r="H667" s="18" t="str">
        <x:v>ダニエル電池の電子と電流</x:v>
      </x:c>
      <x:c r="I667" s="18" t="str">
        <x:v>外部回路の電子は亜鉛（あえん）極（−）から銅極（＋）へ流れ、電流の向きは逆に銅極から亜鉛極。溶液中を電子が横切るのではなく、イオンが動く。つながり：電子の向き／電流の向き／イオン移動</x:v>
      </x:c>
      <x:c r="J667" s="18" t="str">
        <x:v>電子の向き／電流の向き／イオン移動</x:v>
      </x:c>
    </x:row>
    <x:row r="668" ht="62" customHeight="1">
      <x:c r="A668" s="106" t="str">
        <x:v>CHE-156</x:v>
      </x:c>
      <x:c r="B668" s="106" t="str">
        <x:v>化学</x:v>
      </x:c>
      <x:c r="C668" s="106" t="str">
        <x:v>中3</x:v>
      </x:c>
      <x:c r="D668" s="106" t="str">
        <x:v>電池</x:v>
      </x:c>
      <x:c r="E668" s="106" t="str">
        <x:v>因果</x:v>
      </x:c>
      <x:c r="F668" s="106" t="str">
        <x:v>A</x:v>
      </x:c>
      <x:c r="G668" s="106" t="str"/>
      <x:c r="H668" s="18" t="str">
        <x:v>ダニエル電池の仕切りの役割</x:v>
      </x:c>
      <x:c r="I668" s="18" t="str">
        <x:v>2つの水溶液が急に混ざるのを抑えながら、イオンを通して電気的中性を保つ。亜鉛（あえん）側ではZn²⁺が増え、銅側ではCu²⁺が減るため、正負のイオンが移動して偏りを打ち消す。つながり：電気的中性／硫酸イオン／電解質（でんかいしつ）</x:v>
      </x:c>
      <x:c r="J668" s="18" t="str">
        <x:v>電気的中性／硫酸イオン／電解質でんかいしつ&lt;／rt&gt;&lt;／ruby&gt;</x:v>
      </x:c>
    </x:row>
    <x:row r="669" ht="62" customHeight="1">
      <x:c r="A669" s="106" t="str">
        <x:v>CHE-157</x:v>
      </x:c>
      <x:c r="B669" s="106" t="str">
        <x:v>化学</x:v>
      </x:c>
      <x:c r="C669" s="106" t="str">
        <x:v>中3</x:v>
      </x:c>
      <x:c r="D669" s="106" t="str">
        <x:v>電池</x:v>
      </x:c>
      <x:c r="E669" s="106" t="str">
        <x:v>因果</x:v>
      </x:c>
      <x:c r="F669" s="106" t="str">
        <x:v>B</x:v>
      </x:c>
      <x:c r="G669" s="106" t="str"/>
      <x:c r="H669" s="18" t="str">
        <x:v>ダニエル電池が電流を保ちやすい理由</x:v>
      </x:c>
      <x:c r="I669" s="18" t="str">
        <x:v>亜鉛（あえん）と銅イオンの反応を別々の電極で進め、Cu²⁺を銅として析出（せきしゅつ）させる。1種類の電解質（でんかいしつ）へ亜鉛板と銅板を入れる電池より銅板へ水素が付きにくく、仕切りが直接反応も抑える。つながり：分極／銅析出／仕切り</x:v>
      </x:c>
      <x:c r="J669" s="18" t="str">
        <x:v>分極／銅析出／仕切り</x:v>
      </x:c>
    </x:row>
    <x:row r="670" ht="62" customHeight="1">
      <x:c r="A670" s="106" t="str">
        <x:v>CHE-181</x:v>
      </x:c>
      <x:c r="B670" s="106" t="str">
        <x:v>化学</x:v>
      </x:c>
      <x:c r="C670" s="106" t="str">
        <x:v>中3</x:v>
      </x:c>
      <x:c r="D670" s="106" t="str">
        <x:v>イオン式</x:v>
      </x:c>
      <x:c r="E670" s="106" t="str">
        <x:v>用語</x:v>
      </x:c>
      <x:c r="F670" s="106" t="str">
        <x:v>A</x:v>
      </x:c>
      <x:c r="G670" s="106" t="str"/>
      <x:c r="H670" s="18" t="str">
        <x:v>水素イオンのイオン式</x:v>
      </x:c>
      <x:c r="I670" s="18" t="str">
        <x:v>H⁺。水素原子が電子を1個失った1価の陽イオン（よういおん）で、酸性の水溶液に共通する。つながり：水素イオン／酸性／中和（ちゅうわ）</x:v>
      </x:c>
      <x:c r="J670" s="18" t="str">
        <x:v>水素イオン／酸性／中和ちゅうわ&lt;／rt&gt;&lt;／ruby&gt;</x:v>
      </x:c>
    </x:row>
    <x:row r="671" ht="62" customHeight="1">
      <x:c r="A671" s="106" t="str">
        <x:v>CHE-182</x:v>
      </x:c>
      <x:c r="B671" s="106" t="str">
        <x:v>化学</x:v>
      </x:c>
      <x:c r="C671" s="106" t="str">
        <x:v>中3</x:v>
      </x:c>
      <x:c r="D671" s="106" t="str">
        <x:v>イオン式</x:v>
      </x:c>
      <x:c r="E671" s="106" t="str">
        <x:v>用語</x:v>
      </x:c>
      <x:c r="F671" s="106" t="str">
        <x:v>A</x:v>
      </x:c>
      <x:c r="G671" s="106" t="str"/>
      <x:c r="H671" s="18" t="str">
        <x:v>ナトリウムイオンのイオン式</x:v>
      </x:c>
      <x:c r="I671" s="18" t="str">
        <x:v>Na⁺。ナトリウム原子Naが電子を1個失ってできる1価の陽イオン（よういおん）。塩化ナトリウムの電離（でんり）で生じる。つながり：Na⁺／陽イオン／NaCl</x:v>
      </x:c>
      <x:c r="J671" s="18" t="str">
        <x:v>Na⁺／陽イオン／NaCl</x:v>
      </x:c>
    </x:row>
    <x:row r="672" ht="62" customHeight="1">
      <x:c r="A672" s="106" t="str">
        <x:v>CHE-183</x:v>
      </x:c>
      <x:c r="B672" s="106" t="str">
        <x:v>化学</x:v>
      </x:c>
      <x:c r="C672" s="106" t="str">
        <x:v>中3</x:v>
      </x:c>
      <x:c r="D672" s="106" t="str">
        <x:v>イオン式</x:v>
      </x:c>
      <x:c r="E672" s="106" t="str">
        <x:v>用語</x:v>
      </x:c>
      <x:c r="F672" s="106" t="str">
        <x:v>B</x:v>
      </x:c>
      <x:c r="G672" s="106" t="str"/>
      <x:c r="H672" s="18" t="str">
        <x:v>カリウムイオンのイオン式</x:v>
      </x:c>
      <x:c r="I672" s="18" t="str">
        <x:v>K⁺。カリウム原子Kが電子を1個失ってできる1価の陽イオン（よういおん）。元素記号Kと電荷＋を組み合わせる。つながり：K⁺／陽イオン／電子</x:v>
      </x:c>
      <x:c r="J672" s="18" t="str">
        <x:v>K⁺／陽イオン／電子</x:v>
      </x:c>
    </x:row>
    <x:row r="673" ht="62" customHeight="1">
      <x:c r="A673" s="106" t="str">
        <x:v>CHE-184</x:v>
      </x:c>
      <x:c r="B673" s="106" t="str">
        <x:v>化学</x:v>
      </x:c>
      <x:c r="C673" s="106" t="str">
        <x:v>中3</x:v>
      </x:c>
      <x:c r="D673" s="106" t="str">
        <x:v>イオン式</x:v>
      </x:c>
      <x:c r="E673" s="106" t="str">
        <x:v>用語</x:v>
      </x:c>
      <x:c r="F673" s="106" t="str">
        <x:v>A</x:v>
      </x:c>
      <x:c r="G673" s="106" t="str"/>
      <x:c r="H673" s="18" t="str">
        <x:v>銀イオンのイオン式</x:v>
      </x:c>
      <x:c r="I673" s="18" t="str">
        <x:v>Ag⁺。銀原子Agが電子を1個失った1価の陽イオン（よういおん）。塩化物イオンCl⁻と塩化銀AgClの白色沈殿（ちんでん）をつくる。つながり：Ag⁺／AgCl／白色沈殿</x:v>
      </x:c>
      <x:c r="J673" s="18" t="str">
        <x:v>Ag⁺／AgCl／白色沈殿</x:v>
      </x:c>
    </x:row>
    <x:row r="674" ht="62" customHeight="1">
      <x:c r="A674" s="106" t="str">
        <x:v>CHE-185</x:v>
      </x:c>
      <x:c r="B674" s="106" t="str">
        <x:v>化学</x:v>
      </x:c>
      <x:c r="C674" s="106" t="str">
        <x:v>中3</x:v>
      </x:c>
      <x:c r="D674" s="106" t="str">
        <x:v>イオン式</x:v>
      </x:c>
      <x:c r="E674" s="106" t="str">
        <x:v>用語</x:v>
      </x:c>
      <x:c r="F674" s="106" t="str">
        <x:v>A</x:v>
      </x:c>
      <x:c r="G674" s="106" t="str"/>
      <x:c r="H674" s="18" t="str">
        <x:v>銅イオンのイオン式</x:v>
      </x:c>
      <x:c r="I674" s="18" t="str">
        <x:v>Cu²⁺。中学で主に扱う銅イオンは2価の陽イオン（よういおん）で、硫酸銅水溶液の青色に関わる。CuとCu²⁺を区別する。つながり：Cu²⁺／硫酸銅／ダニエル電池</x:v>
      </x:c>
      <x:c r="J674" s="18" t="str">
        <x:v>Cu²⁺／硫酸銅／ダニエル電池</x:v>
      </x:c>
    </x:row>
    <x:row r="675" ht="62" customHeight="1">
      <x:c r="A675" s="106" t="str">
        <x:v>CHE-186</x:v>
      </x:c>
      <x:c r="B675" s="106" t="str">
        <x:v>化学</x:v>
      </x:c>
      <x:c r="C675" s="106" t="str">
        <x:v>中3</x:v>
      </x:c>
      <x:c r="D675" s="106" t="str">
        <x:v>イオン式</x:v>
      </x:c>
      <x:c r="E675" s="106" t="str">
        <x:v>用語</x:v>
      </x:c>
      <x:c r="F675" s="106" t="str">
        <x:v>A</x:v>
      </x:c>
      <x:c r="G675" s="106" t="str"/>
      <x:c r="H675" s="18" t="str">
        <x:v>マグネシウムイオンのイオン式</x:v>
      </x:c>
      <x:c r="I675" s="18" t="str">
        <x:v>Mg²⁺。マグネシウム原子Mgが電子を2個失ってできる2価の陽イオン（よういおん）。右上の2は電荷を表す。つながり：Mg²⁺／陽イオン／電子</x:v>
      </x:c>
      <x:c r="J675" s="18" t="str">
        <x:v>Mg²⁺／陽イオン／電子</x:v>
      </x:c>
    </x:row>
    <x:row r="676" ht="62" customHeight="1">
      <x:c r="A676" s="106" t="str">
        <x:v>CHE-187</x:v>
      </x:c>
      <x:c r="B676" s="106" t="str">
        <x:v>化学</x:v>
      </x:c>
      <x:c r="C676" s="106" t="str">
        <x:v>中3</x:v>
      </x:c>
      <x:c r="D676" s="106" t="str">
        <x:v>イオン式</x:v>
      </x:c>
      <x:c r="E676" s="106" t="str">
        <x:v>用語</x:v>
      </x:c>
      <x:c r="F676" s="106" t="str">
        <x:v>A</x:v>
      </x:c>
      <x:c r="G676" s="106" t="str"/>
      <x:c r="H676" s="18" t="str">
        <x:v>カルシウムイオンのイオン式</x:v>
      </x:c>
      <x:c r="I676" s="18" t="str">
        <x:v>Ca²⁺。カルシウム原子Caが電子を2個失ってできる2価の陽イオン（よういおん）。水酸化（さんか）カルシウムの電離（でんり）で生じる。つながり：Ca²⁺／陽イオン／水酸化カルシウム</x:v>
      </x:c>
      <x:c r="J676" s="18" t="str">
        <x:v>Ca²⁺／陽イオン／水酸化カルシウム</x:v>
      </x:c>
    </x:row>
    <x:row r="677" ht="62" customHeight="1">
      <x:c r="A677" s="106" t="str">
        <x:v>CHE-188</x:v>
      </x:c>
      <x:c r="B677" s="106" t="str">
        <x:v>化学</x:v>
      </x:c>
      <x:c r="C677" s="106" t="str">
        <x:v>中3</x:v>
      </x:c>
      <x:c r="D677" s="106" t="str">
        <x:v>イオン式</x:v>
      </x:c>
      <x:c r="E677" s="106" t="str">
        <x:v>用語</x:v>
      </x:c>
      <x:c r="F677" s="106" t="str">
        <x:v>A</x:v>
      </x:c>
      <x:c r="G677" s="106" t="str"/>
      <x:c r="H677" s="18" t="str">
        <x:v>アンモニウムイオンのイオン式</x:v>
      </x:c>
      <x:c r="I677" s="18" t="str">
        <x:v>NH₄⁺。窒素原子1個と水素原子4個からなる原子団全体が、＋1の電荷をもつ陽イオン（よういおん）。つながり：NH₄⁺／原子団／陽イオン</x:v>
      </x:c>
      <x:c r="J677" s="18" t="str">
        <x:v>NH₄⁺／原子団／陽イオン</x:v>
      </x:c>
    </x:row>
    <x:row r="678" ht="62" customHeight="1">
      <x:c r="A678" s="106" t="str">
        <x:v>CHE-189</x:v>
      </x:c>
      <x:c r="B678" s="106" t="str">
        <x:v>化学</x:v>
      </x:c>
      <x:c r="C678" s="106" t="str">
        <x:v>中3</x:v>
      </x:c>
      <x:c r="D678" s="106" t="str">
        <x:v>イオン式</x:v>
      </x:c>
      <x:c r="E678" s="106" t="str">
        <x:v>用語</x:v>
      </x:c>
      <x:c r="F678" s="106" t="str">
        <x:v>A</x:v>
      </x:c>
      <x:c r="G678" s="106" t="str"/>
      <x:c r="H678" s="18" t="str">
        <x:v>亜鉛（あえん）イオンのイオン式</x:v>
      </x:c>
      <x:c r="I678" s="18" t="str">
        <x:v>Zn²⁺。亜鉛（あえん）原子Znが電子を2個失ってできる。ダニエル電池の亜鉛極ではZn→Zn²⁺＋2e⁻となる。つながり：Zn²⁺／亜鉛極／酸化（さんか）</x:v>
      </x:c>
      <x:c r="J678" s="18" t="str">
        <x:v>Zn²⁺／亜鉛極／酸化さんか&lt;／rt&gt;&lt;／ruby&gt;</x:v>
      </x:c>
    </x:row>
    <x:row r="679" ht="62" customHeight="1">
      <x:c r="A679" s="106" t="str">
        <x:v>CHE-190</x:v>
      </x:c>
      <x:c r="B679" s="106" t="str">
        <x:v>化学</x:v>
      </x:c>
      <x:c r="C679" s="106" t="str">
        <x:v>中3</x:v>
      </x:c>
      <x:c r="D679" s="106" t="str">
        <x:v>イオン式</x:v>
      </x:c>
      <x:c r="E679" s="106" t="str">
        <x:v>用語</x:v>
      </x:c>
      <x:c r="F679" s="106" t="str">
        <x:v>B</x:v>
      </x:c>
      <x:c r="G679" s="106" t="str"/>
      <x:c r="H679" s="18" t="str">
        <x:v>バリウムイオンのイオン式</x:v>
      </x:c>
      <x:c r="I679" s="18" t="str">
        <x:v>Ba²⁺。硫酸イオンSO₄²⁻と反応して、水に溶けにくい硫酸バリウムBaSO₄の白色沈殿（ちんでん）をつくる。つながり：Ba²⁺／BaSO₄／白色沈殿</x:v>
      </x:c>
      <x:c r="J679" s="18" t="str">
        <x:v>Ba²⁺／BaSO₄／白色沈殿</x:v>
      </x:c>
    </x:row>
    <x:row r="680" ht="62" customHeight="1">
      <x:c r="A680" s="106" t="str">
        <x:v>CHE-191</x:v>
      </x:c>
      <x:c r="B680" s="106" t="str">
        <x:v>化学</x:v>
      </x:c>
      <x:c r="C680" s="106" t="str">
        <x:v>中3</x:v>
      </x:c>
      <x:c r="D680" s="106" t="str">
        <x:v>イオン式</x:v>
      </x:c>
      <x:c r="E680" s="106" t="str">
        <x:v>用語</x:v>
      </x:c>
      <x:c r="F680" s="106" t="str">
        <x:v>A</x:v>
      </x:c>
      <x:c r="G680" s="106" t="str"/>
      <x:c r="H680" s="18" t="str">
        <x:v>塩化物イオンのイオン式</x:v>
      </x:c>
      <x:c r="I680" s="18" t="str">
        <x:v>Cl⁻。塩素原子Clが電子を1個受け取った1価の陰イオン（いんいおん）。銀イオンAg⁺と塩化銀AgClの白色沈殿（ちんでん）をつくる。つながり：Cl⁻／陰イオン／AgCl</x:v>
      </x:c>
      <x:c r="J680" s="18" t="str">
        <x:v>Cl⁻／陰イオン／AgCl</x:v>
      </x:c>
    </x:row>
    <x:row r="681" ht="62" customHeight="1">
      <x:c r="A681" s="106" t="str">
        <x:v>CHE-192</x:v>
      </x:c>
      <x:c r="B681" s="106" t="str">
        <x:v>化学</x:v>
      </x:c>
      <x:c r="C681" s="106" t="str">
        <x:v>中3</x:v>
      </x:c>
      <x:c r="D681" s="106" t="str">
        <x:v>イオン式</x:v>
      </x:c>
      <x:c r="E681" s="106" t="str">
        <x:v>用語</x:v>
      </x:c>
      <x:c r="F681" s="106" t="str">
        <x:v>A</x:v>
      </x:c>
      <x:c r="G681" s="106" t="str"/>
      <x:c r="H681" s="18" t="str">
        <x:v>水酸化（さんか）物イオンのイオン式</x:v>
      </x:c>
      <x:c r="I681" s="18" t="str">
        <x:v>OH⁻。酸素原子と水素原子からなる原子団全体が−1の電荷をもち、アルカリ性の水溶液に共通する。つながり：OH⁻／アルカリ性／中和（ちゅうわ）</x:v>
      </x:c>
      <x:c r="J681" s="18" t="str">
        <x:v>OH⁻／アルカリ性／中和ちゅうわ&lt;／rt&gt;&lt;／ruby&gt;</x:v>
      </x:c>
    </x:row>
    <x:row r="682" ht="62" customHeight="1">
      <x:c r="A682" s="106" t="str">
        <x:v>CHE-193</x:v>
      </x:c>
      <x:c r="B682" s="106" t="str">
        <x:v>化学</x:v>
      </x:c>
      <x:c r="C682" s="106" t="str">
        <x:v>中3</x:v>
      </x:c>
      <x:c r="D682" s="106" t="str">
        <x:v>イオン式</x:v>
      </x:c>
      <x:c r="E682" s="106" t="str">
        <x:v>用語</x:v>
      </x:c>
      <x:c r="F682" s="106" t="str">
        <x:v>A</x:v>
      </x:c>
      <x:c r="G682" s="106" t="str"/>
      <x:c r="H682" s="18" t="str">
        <x:v>硫酸イオンのイオン式</x:v>
      </x:c>
      <x:c r="I682" s="18" t="str">
        <x:v>SO₄²⁻。硫黄原子1個と酸素原子4個からなる原子団全体が−2の電荷をもつ。右下の4と右上の2を区別する。つながり：SO₄²⁻／原子団／硫酸</x:v>
      </x:c>
      <x:c r="J682" s="18" t="str">
        <x:v>SO₄²⁻／原子団／硫酸</x:v>
      </x:c>
    </x:row>
    <x:row r="683" ht="62" customHeight="1">
      <x:c r="A683" s="106" t="str">
        <x:v>CHE-194</x:v>
      </x:c>
      <x:c r="B683" s="106" t="str">
        <x:v>化学</x:v>
      </x:c>
      <x:c r="C683" s="106" t="str">
        <x:v>中3</x:v>
      </x:c>
      <x:c r="D683" s="106" t="str">
        <x:v>イオン式</x:v>
      </x:c>
      <x:c r="E683" s="106" t="str">
        <x:v>用語</x:v>
      </x:c>
      <x:c r="F683" s="106" t="str">
        <x:v>B</x:v>
      </x:c>
      <x:c r="G683" s="106" t="str"/>
      <x:c r="H683" s="18" t="str">
        <x:v>硝酸イオンのイオン式</x:v>
      </x:c>
      <x:c r="I683" s="18" t="str">
        <x:v>NO₃⁻。窒素原子1個と酸素原子3個からなる原子団全体が−1の電荷をもつ陰イオン（いんいおん）。つながり：NO₃⁻／原子団／陰イオン</x:v>
      </x:c>
      <x:c r="J683" s="18" t="str">
        <x:v>NO₃⁻／原子団／陰イオン</x:v>
      </x:c>
    </x:row>
    <x:row r="684" ht="62" customHeight="1">
      <x:c r="A684" s="106" t="str">
        <x:v>CHE-195</x:v>
      </x:c>
      <x:c r="B684" s="106" t="str">
        <x:v>化学</x:v>
      </x:c>
      <x:c r="C684" s="106" t="str">
        <x:v>中3</x:v>
      </x:c>
      <x:c r="D684" s="106" t="str">
        <x:v>イオン式</x:v>
      </x:c>
      <x:c r="E684" s="106" t="str">
        <x:v>用語</x:v>
      </x:c>
      <x:c r="F684" s="106" t="str">
        <x:v>B</x:v>
      </x:c>
      <x:c r="G684" s="106" t="str"/>
      <x:c r="H684" s="18" t="str">
        <x:v>炭酸イオンのイオン式</x:v>
      </x:c>
      <x:c r="I684" s="18" t="str">
        <x:v>CO₃²⁻。炭素原子1個と酸素原子3個からなる原子団全体が−2の電荷をもつ陰イオン（いんいおん）。つながり：CO₃²⁻／原子団／炭酸塩</x:v>
      </x:c>
      <x:c r="J684" s="18" t="str">
        <x:v>CO₃²⁻／原子団／炭酸塩</x:v>
      </x:c>
    </x:row>
    <x:row r="685" ht="62" customHeight="1">
      <x:c r="A685" s="106" t="str">
        <x:v>BIO-028</x:v>
      </x:c>
      <x:c r="B685" s="106" t="str">
        <x:v>生物</x:v>
      </x:c>
      <x:c r="C685" s="106" t="str">
        <x:v>中3</x:v>
      </x:c>
      <x:c r="D685" s="106" t="str">
        <x:v>生態系</x:v>
      </x:c>
      <x:c r="E685" s="106" t="str">
        <x:v>因果</x:v>
      </x:c>
      <x:c r="F685" s="106" t="str">
        <x:v>A</x:v>
      </x:c>
      <x:c r="G685" s="106" t="str"/>
      <x:c r="H685" s="18" t="str">
        <x:v>落ち葉や死がいが減っていく理由</x:v>
      </x:c>
      <x:c r="I685" s="18" t="str">
        <x:v>落ち葉や死がいは、土の中の小動物に細かくされ、菌類や細菌類などの微生物に分解されるため、しだいに形が見えなくなる。分解された物質の一部は植物に再利用される。つながり：分解者（ぶんかいしゃ）／菌類／細菌類／物質循環</x:v>
      </x:c>
      <x:c r="J685" s="18" t="str">
        <x:v>分解者ぶんかいしゃ&lt;／rt&gt;&lt;／ruby&gt;／菌類／細菌類／物質循環</x:v>
      </x:c>
    </x:row>
    <x:row r="686" ht="62" customHeight="1">
      <x:c r="A686" s="106" t="str">
        <x:v>BIO-074</x:v>
      </x:c>
      <x:c r="B686" s="106" t="str">
        <x:v>生物</x:v>
      </x:c>
      <x:c r="C686" s="106" t="str">
        <x:v>中3</x:v>
      </x:c>
      <x:c r="D686" s="106" t="str">
        <x:v>進化</x:v>
      </x:c>
      <x:c r="E686" s="106" t="str">
        <x:v>用語</x:v>
      </x:c>
      <x:c r="F686" s="106" t="str">
        <x:v>B</x:v>
      </x:c>
      <x:c r="G686" s="106" t="str"/>
      <x:c r="H686" s="18" t="str">
        <x:v>相同器官（そうどうきかん）</x:v>
      </x:c>
      <x:c r="I686" s="18" t="str">
        <x:v>基本的な骨格や起源が同じだが、生活に応じて形やはたらきが変化した器官。ヒトの腕・クジラの前あし・コウモリの翼などは、共通祖先からの進化を示す証拠になる。つながり：進化／共通祖先／化石／適応</x:v>
      </x:c>
      <x:c r="J686" s="18" t="str">
        <x:v>進化／共通祖先／化石／適応</x:v>
      </x:c>
    </x:row>
    <x:row r="687" ht="62" customHeight="1">
      <x:c r="A687" s="106" t="str">
        <x:v>BIO-075</x:v>
      </x:c>
      <x:c r="B687" s="106" t="str">
        <x:v>生物</x:v>
      </x:c>
      <x:c r="C687" s="106" t="str">
        <x:v>中3</x:v>
      </x:c>
      <x:c r="D687" s="106" t="str">
        <x:v>進化</x:v>
      </x:c>
      <x:c r="E687" s="106" t="str">
        <x:v>誤解対策</x:v>
      </x:c>
      <x:c r="F687" s="106" t="str">
        <x:v>A</x:v>
      </x:c>
      <x:c r="G687" s="106" t="n">
        <x:v>123</x:v>
      </x:c>
      <x:c r="H687" s="18" t="str">
        <x:v>進化</x:v>
      </x:c>
      <x:c r="I687" s="18" t="str">
        <x:v>生物の集団の遺伝（いでん）的な性質が、長い世代を通して変化すること。個体が必要に応じて一生の間に変身することではない。化石・相同器官（そうどうきかん）・DNAの比較などが証拠になる。つながり：遺伝／自然選択／化石／相同器官</x:v>
      </x:c>
      <x:c r="J687" s="18" t="str">
        <x:v>遺伝／自然選択／化石／相同器官</x:v>
      </x:c>
    </x:row>
    <x:row r="688" ht="62" customHeight="1">
      <x:c r="A688" s="106" t="str">
        <x:v>BIO-076</x:v>
      </x:c>
      <x:c r="B688" s="106" t="str">
        <x:v>生物</x:v>
      </x:c>
      <x:c r="C688" s="106" t="str">
        <x:v>中3</x:v>
      </x:c>
      <x:c r="D688" s="106" t="str">
        <x:v>進化</x:v>
      </x:c>
      <x:c r="E688" s="106" t="str">
        <x:v>因果</x:v>
      </x:c>
      <x:c r="F688" s="106" t="str">
        <x:v>B</x:v>
      </x:c>
      <x:c r="G688" s="106" t="str"/>
      <x:c r="H688" s="18" t="str">
        <x:v>水中から陸上への脊椎動物（せきついどうぶつ）の進化</x:v>
      </x:c>
      <x:c r="I688" s="18" t="str">
        <x:v>化石などから、魚類に近い共通祖先の系統から初期の四肢動物が分岐し、陸上生活への適応をもつ系統が多様化したと考えられる。乾燥に強い体表、肺、殻のある卵や体内受精（じゅせい）は陸上生活に有利だった。現生群が一直線に進歩したのではない。つながり：両生類／爬虫類／適応／化石</x:v>
      </x:c>
      <x:c r="J688" s="18" t="str">
        <x:v>両生類／爬虫類／適応／化石</x:v>
      </x:c>
    </x:row>
    <x:row r="689" ht="62" customHeight="1">
      <x:c r="A689" s="106" t="str">
        <x:v>BIO-132</x:v>
      </x:c>
      <x:c r="B689" s="106" t="str">
        <x:v>生物</x:v>
      </x:c>
      <x:c r="C689" s="106" t="str">
        <x:v>中3</x:v>
      </x:c>
      <x:c r="D689" s="106" t="str">
        <x:v>生殖</x:v>
      </x:c>
      <x:c r="E689" s="106" t="str">
        <x:v>因果</x:v>
      </x:c>
      <x:c r="F689" s="106" t="str">
        <x:v>A</x:v>
      </x:c>
      <x:c r="G689" s="106" t="n">
        <x:v>124</x:v>
      </x:c>
      <x:c r="H689" s="18" t="str">
        <x:v>減数分裂（げんすうぶんれつ）</x:v>
      </x:c>
      <x:c r="I689" s="18" t="str">
        <x:v>生殖細胞がつくられるときに、染色体数が体細胞の半分になる特別な細胞分裂。受精（じゅせい）で精子と卵の染色体が合わさり、受精卵では元の数に戻るため、世代ごとに倍増しない。つながり：生殖細胞／染色体数／受精／体細胞分裂</x:v>
      </x:c>
      <x:c r="J689" s="18" t="str">
        <x:v>生殖細胞／染色体数／受精／体細胞分裂</x:v>
      </x:c>
    </x:row>
    <x:row r="690" ht="62" customHeight="1">
      <x:c r="A690" s="106" t="str">
        <x:v>BIO-133</x:v>
      </x:c>
      <x:c r="B690" s="106" t="str">
        <x:v>生物</x:v>
      </x:c>
      <x:c r="C690" s="106" t="str">
        <x:v>中3</x:v>
      </x:c>
      <x:c r="D690" s="106" t="str">
        <x:v>細胞分裂</x:v>
      </x:c>
      <x:c r="E690" s="106" t="str">
        <x:v>用語</x:v>
      </x:c>
      <x:c r="F690" s="106" t="str">
        <x:v>A</x:v>
      </x:c>
      <x:c r="G690" s="106" t="n">
        <x:v>125</x:v>
      </x:c>
      <x:c r="H690" s="18" t="str">
        <x:v>体細胞分裂</x:v>
      </x:c>
      <x:c r="I690" s="18" t="str">
        <x:v>1個の体細胞が、染色体の数と遺伝（いでん）情報が基本的に同じ2個の娘細胞に分かれること。成長・傷の修復・無性生殖（むせいせいしょく）などに使われる。分裂前にDNAが複製される。つながり：染色体／DNA複製／成長／娘細胞</x:v>
      </x:c>
      <x:c r="J690" s="18" t="str">
        <x:v>染色体／DNA複製／成長／娘細胞</x:v>
      </x:c>
    </x:row>
    <x:row r="691" ht="62" customHeight="1">
      <x:c r="A691" s="106" t="str">
        <x:v>BIO-134</x:v>
      </x:c>
      <x:c r="B691" s="106" t="str">
        <x:v>生物</x:v>
      </x:c>
      <x:c r="C691" s="106" t="str">
        <x:v>中3</x:v>
      </x:c>
      <x:c r="D691" s="106" t="str">
        <x:v>細胞分裂</x:v>
      </x:c>
      <x:c r="E691" s="106" t="str">
        <x:v>実験</x:v>
      </x:c>
      <x:c r="F691" s="106" t="str">
        <x:v>A</x:v>
      </x:c>
      <x:c r="G691" s="106" t="str"/>
      <x:c r="H691" s="18" t="str">
        <x:v>細胞分裂の観察に根の先端を使う理由</x:v>
      </x:c>
      <x:c r="I691" s="18" t="str">
        <x:v>根の先端近くには細胞分裂が盛んな成長点があるため。先端そのものの根冠は成長点を守る部分で、分裂像はその少し内側に多い。タマネギの根などを用いる。つながり：成長点／根冠／染色体／タマネギ</x:v>
      </x:c>
      <x:c r="J691" s="18" t="str">
        <x:v>成長点／根冠／染色体／タマネギ</x:v>
      </x:c>
    </x:row>
    <x:row r="692" ht="62" customHeight="1">
      <x:c r="A692" s="106" t="str">
        <x:v>BIO-135</x:v>
      </x:c>
      <x:c r="B692" s="106" t="str">
        <x:v>生物</x:v>
      </x:c>
      <x:c r="C692" s="106" t="str">
        <x:v>中3</x:v>
      </x:c>
      <x:c r="D692" s="106" t="str">
        <x:v>細胞分裂</x:v>
      </x:c>
      <x:c r="E692" s="106" t="str">
        <x:v>実験</x:v>
      </x:c>
      <x:c r="F692" s="106" t="str">
        <x:v>A</x:v>
      </x:c>
      <x:c r="G692" s="106" t="str"/>
      <x:c r="H692" s="18" t="str">
        <x:v>細胞分裂観察の処理</x:v>
      </x:c>
      <x:c r="I692" s="18" t="str">
        <x:v>保護眼鏡を着用し、うすい塩酸や染色液を皮膚・目に付けない。根端を塩酸で処理して細胞どうしを離れやすくし、染色後、カバーガラスを真上から押して細胞を一層に広げる。横へずらすと染色体が乱れる。つながり：塩酸処理／染色液／押しつぶし／根端</x:v>
      </x:c>
      <x:c r="J692" s="18" t="str">
        <x:v>塩酸処理／染色液／押しつぶし／根端</x:v>
      </x:c>
    </x:row>
    <x:row r="693" ht="62" customHeight="1">
      <x:c r="A693" s="106" t="str">
        <x:v>BIO-136</x:v>
      </x:c>
      <x:c r="B693" s="106" t="str">
        <x:v>生物</x:v>
      </x:c>
      <x:c r="C693" s="106" t="str">
        <x:v>中3</x:v>
      </x:c>
      <x:c r="D693" s="106" t="str">
        <x:v>細胞分裂</x:v>
      </x:c>
      <x:c r="E693" s="106" t="str">
        <x:v>読図</x:v>
      </x:c>
      <x:c r="F693" s="106" t="str">
        <x:v>A</x:v>
      </x:c>
      <x:c r="G693" s="106" t="str"/>
      <x:c r="H693" s="18" t="str">
        <x:v>体細胞分裂の順序</x:v>
      </x:c>
      <x:c r="I693" s="18" t="str">
        <x:v>染色体が太く短く見える→中央に並ぶ→2つに分かれて両極へ移動→2個の核ができ、細胞質が分かれる。植物細胞では中央から細胞板ができ、動物細胞では外側からくびれる。つながり：染色体／赤道面／細胞板／娘細胞</x:v>
      </x:c>
      <x:c r="J693" s="18" t="str">
        <x:v>染色体／赤道面／細胞板／娘細胞</x:v>
      </x:c>
    </x:row>
    <x:row r="694" ht="62" customHeight="1">
      <x:c r="A694" s="106" t="str">
        <x:v>BIO-137</x:v>
      </x:c>
      <x:c r="B694" s="106" t="str">
        <x:v>生物</x:v>
      </x:c>
      <x:c r="C694" s="106" t="str">
        <x:v>中3</x:v>
      </x:c>
      <x:c r="D694" s="106" t="str">
        <x:v>成長</x:v>
      </x:c>
      <x:c r="E694" s="106" t="str">
        <x:v>因果</x:v>
      </x:c>
      <x:c r="F694" s="106" t="str">
        <x:v>A</x:v>
      </x:c>
      <x:c r="G694" s="106" t="str"/>
      <x:c r="H694" s="18" t="str">
        <x:v>生物が成長する仕組み</x:v>
      </x:c>
      <x:c r="I694" s="18" t="str">
        <x:v>体細胞分裂で細胞数が増え、その後それぞれの細胞が大きくなることで体が成長する。細胞が無限に大きくなるだけではない。植物では根や茎の成長点で分裂が盛ん。つながり：体細胞分裂／細胞数／成長点／細胞伸長</x:v>
      </x:c>
      <x:c r="J694" s="18" t="str">
        <x:v>体細胞分裂／細胞数／成長点／細胞伸長</x:v>
      </x:c>
    </x:row>
    <x:row r="695" ht="62" customHeight="1">
      <x:c r="A695" s="106" t="str">
        <x:v>BIO-138</x:v>
      </x:c>
      <x:c r="B695" s="106" t="str">
        <x:v>生物</x:v>
      </x:c>
      <x:c r="C695" s="106" t="str">
        <x:v>中3</x:v>
      </x:c>
      <x:c r="D695" s="106" t="str">
        <x:v>遺伝情報</x:v>
      </x:c>
      <x:c r="E695" s="106" t="str">
        <x:v>比較</x:v>
      </x:c>
      <x:c r="F695" s="106" t="str">
        <x:v>A</x:v>
      </x:c>
      <x:c r="G695" s="106" t="n">
        <x:v>126</x:v>
      </x:c>
      <x:c r="H695" s="18" t="str">
        <x:v>染色体・DNA・遺伝（いでん）子の関係</x:v>
      </x:c>
      <x:c r="I695" s="18" t="str">
        <x:v>染色体の主成分の一つがDNAで、DNA上の特定の情報単位が遺伝（いでん）子。遺伝子は形質に関わる情報をもつ。『染色体の中に細胞がある』など階層を逆にしない。つながり：染色体／DNA／遺伝子／形質</x:v>
      </x:c>
      <x:c r="J695" s="18" t="str">
        <x:v>染色体／DNA／遺伝子／形質</x:v>
      </x:c>
    </x:row>
    <x:row r="696" ht="62" customHeight="1">
      <x:c r="A696" s="106" t="str">
        <x:v>BIO-139</x:v>
      </x:c>
      <x:c r="B696" s="106" t="str">
        <x:v>生物</x:v>
      </x:c>
      <x:c r="C696" s="106" t="str">
        <x:v>中3</x:v>
      </x:c>
      <x:c r="D696" s="106" t="str">
        <x:v>生殖</x:v>
      </x:c>
      <x:c r="E696" s="106" t="str">
        <x:v>用語</x:v>
      </x:c>
      <x:c r="F696" s="106" t="str">
        <x:v>A</x:v>
      </x:c>
      <x:c r="G696" s="106" t="str"/>
      <x:c r="H696" s="18" t="str">
        <x:v>無性生殖（むせいせいしょく）</x:v>
      </x:c>
      <x:c r="I696" s="18" t="str">
        <x:v>雌雄の生殖細胞の受精（じゅせい）を伴わず、1個体から子ができる生殖。分裂・出芽・栄養生殖などがあり、子は親とほぼ同じ遺伝（いでん）情報をもつクローンになる。環境が急変すると一斉に不利になりうる。つながり：クローン／分裂／出芽／栄養生殖</x:v>
      </x:c>
      <x:c r="J696" s="18" t="str">
        <x:v>クローン／分裂／出芽／栄養生殖</x:v>
      </x:c>
    </x:row>
    <x:row r="697" ht="62" customHeight="1">
      <x:c r="A697" s="106" t="str">
        <x:v>BIO-140</x:v>
      </x:c>
      <x:c r="B697" s="106" t="str">
        <x:v>生物</x:v>
      </x:c>
      <x:c r="C697" s="106" t="str">
        <x:v>中3</x:v>
      </x:c>
      <x:c r="D697" s="106" t="str">
        <x:v>生殖</x:v>
      </x:c>
      <x:c r="E697" s="106" t="str">
        <x:v>比較</x:v>
      </x:c>
      <x:c r="F697" s="106" t="str">
        <x:v>B</x:v>
      </x:c>
      <x:c r="G697" s="106" t="str"/>
      <x:c r="H697" s="18" t="str">
        <x:v>分裂と出芽</x:v>
      </x:c>
      <x:c r="I697" s="18" t="str">
        <x:v>分裂は親個体がほぼ同じ大きさの複数個体に分かれる方法で、アメーバなど。出芽は親の体の一部がふくらんで新個体になる方法で、酵母やヒドラなど。どちらも無性生殖（むせいせいしょく）。つながり：無性生殖／アメーバ／酵母／ヒドラ</x:v>
      </x:c>
      <x:c r="J697" s="18" t="str">
        <x:v>無性生殖／アメーバ／酵母／ヒドラ</x:v>
      </x:c>
    </x:row>
    <x:row r="698" ht="62" customHeight="1">
      <x:c r="A698" s="106" t="str">
        <x:v>BIO-141</x:v>
      </x:c>
      <x:c r="B698" s="106" t="str">
        <x:v>生物</x:v>
      </x:c>
      <x:c r="C698" s="106" t="str">
        <x:v>中3</x:v>
      </x:c>
      <x:c r="D698" s="106" t="str">
        <x:v>生殖</x:v>
      </x:c>
      <x:c r="E698" s="106" t="str">
        <x:v>用語</x:v>
      </x:c>
      <x:c r="F698" s="106" t="str">
        <x:v>B</x:v>
      </x:c>
      <x:c r="G698" s="106" t="str"/>
      <x:c r="H698" s="18" t="str">
        <x:v>栄養生殖</x:v>
      </x:c>
      <x:c r="I698" s="18" t="str">
        <x:v>植物が根・茎・葉など栄養器官の一部から新個体をつくる無性生殖（むせいせいしょく）。ジャガイモの塊茎、イチゴのほふく茎、サツマイモの根など。種子を経ない。つながり：無性生殖／塊茎／ほふく茎／クローン</x:v>
      </x:c>
      <x:c r="J698" s="18" t="str">
        <x:v>無性生殖／塊茎／ほふく茎／クローン</x:v>
      </x:c>
    </x:row>
    <x:row r="699" ht="62" customHeight="1">
      <x:c r="A699" s="106" t="str">
        <x:v>BIO-142</x:v>
      </x:c>
      <x:c r="B699" s="106" t="str">
        <x:v>生物</x:v>
      </x:c>
      <x:c r="C699" s="106" t="str">
        <x:v>中3</x:v>
      </x:c>
      <x:c r="D699" s="106" t="str">
        <x:v>生殖</x:v>
      </x:c>
      <x:c r="E699" s="106" t="str">
        <x:v>用語</x:v>
      </x:c>
      <x:c r="F699" s="106" t="str">
        <x:v>A</x:v>
      </x:c>
      <x:c r="G699" s="106" t="n">
        <x:v>127</x:v>
      </x:c>
      <x:c r="H699" s="18" t="str">
        <x:v>有性生殖（ゆうせいせいしょく）</x:v>
      </x:c>
      <x:c r="I699" s="18" t="str">
        <x:v>精子と卵など雌雄の生殖細胞が受精（じゅせい）し、新しい個体ができる生殖。両親から遺伝（いでん）情報を受け継ぐため、子に多様な組み合わせが生じる。つながり：精子／卵／受精／遺伝的多様性</x:v>
      </x:c>
      <x:c r="J699" s="18" t="str">
        <x:v>精子／卵／受精／遺伝的多様性</x:v>
      </x:c>
    </x:row>
    <x:row r="700" ht="62" customHeight="1">
      <x:c r="A700" s="106" t="str">
        <x:v>BIO-143</x:v>
      </x:c>
      <x:c r="B700" s="106" t="str">
        <x:v>生物</x:v>
      </x:c>
      <x:c r="C700" s="106" t="str">
        <x:v>中3</x:v>
      </x:c>
      <x:c r="D700" s="106" t="str">
        <x:v>生殖</x:v>
      </x:c>
      <x:c r="E700" s="106" t="str">
        <x:v>比較</x:v>
      </x:c>
      <x:c r="F700" s="106" t="str">
        <x:v>A</x:v>
      </x:c>
      <x:c r="G700" s="106" t="str"/>
      <x:c r="H700" s="18" t="str">
        <x:v>生殖細胞と体細胞</x:v>
      </x:c>
      <x:c r="I700" s="18" t="str">
        <x:v>生殖細胞は精子・卵など次世代形成に関わる細胞で、染色体数は体細胞の半分。受精（じゅせい）で両者が合体すると、受精卵の染色体数はその生物本来の体細胞と同じになる。つながり：精子／卵／染色体数／受精卵</x:v>
      </x:c>
      <x:c r="J700" s="18" t="str">
        <x:v>精子／卵／染色体数／受精卵</x:v>
      </x:c>
    </x:row>
    <x:row r="701" ht="62" customHeight="1">
      <x:c r="A701" s="106" t="str">
        <x:v>BIO-144</x:v>
      </x:c>
      <x:c r="B701" s="106" t="str">
        <x:v>生物</x:v>
      </x:c>
      <x:c r="C701" s="106" t="str">
        <x:v>中3</x:v>
      </x:c>
      <x:c r="D701" s="106" t="str">
        <x:v>生殖</x:v>
      </x:c>
      <x:c r="E701" s="106" t="str">
        <x:v>用語</x:v>
      </x:c>
      <x:c r="F701" s="106" t="str">
        <x:v>A</x:v>
      </x:c>
      <x:c r="G701" s="106" t="str"/>
      <x:c r="H701" s="18" t="str">
        <x:v>受精（じゅせい）と発生</x:v>
      </x:c>
      <x:c r="I701" s="18" t="str">
        <x:v>精子の核と卵の核が合体するのが受精（じゅせい）で、できた受精卵が細胞分裂を繰り返し、組織や器官をつくって個体になる過程が発生。受精卵は最初の1細胞である。つながり：受精卵／細胞分裂／胚／発生</x:v>
      </x:c>
      <x:c r="J701" s="18" t="str">
        <x:v>受精卵／細胞分裂／胚／発生</x:v>
      </x:c>
    </x:row>
    <x:row r="702" ht="62" customHeight="1">
      <x:c r="A702" s="106" t="str">
        <x:v>BIO-145</x:v>
      </x:c>
      <x:c r="B702" s="106" t="str">
        <x:v>生物</x:v>
      </x:c>
      <x:c r="C702" s="106" t="str">
        <x:v>中3</x:v>
      </x:c>
      <x:c r="D702" s="106" t="str">
        <x:v>植物の生殖</x:v>
      </x:c>
      <x:c r="E702" s="106" t="str">
        <x:v>因果</x:v>
      </x:c>
      <x:c r="F702" s="106" t="str">
        <x:v>A</x:v>
      </x:c>
      <x:c r="G702" s="106" t="str"/>
      <x:c r="H702" s="18" t="str">
        <x:v>花粉管と植物の受精（じゅせい）</x:v>
      </x:c>
      <x:c r="I702" s="18" t="str">
        <x:v>花粉が柱頭につくと花粉管が胚珠（はいしゅ）へ伸び、その中を雄の生殖細胞が移動する。胚珠内の卵細胞と受精（じゅせい）し、受精卵が胚へ、胚珠が種子へ発達する。つながり：花粉／柱頭／花粉管／胚珠</x:v>
      </x:c>
      <x:c r="J702" s="18" t="str">
        <x:v>花粉／柱頭／花粉管／胚珠</x:v>
      </x:c>
    </x:row>
    <x:row r="703" ht="62" customHeight="1">
      <x:c r="A703" s="106" t="str">
        <x:v>BIO-146</x:v>
      </x:c>
      <x:c r="B703" s="106" t="str">
        <x:v>生物</x:v>
      </x:c>
      <x:c r="C703" s="106" t="str">
        <x:v>中3</x:v>
      </x:c>
      <x:c r="D703" s="106" t="str">
        <x:v>植物の生殖</x:v>
      </x:c>
      <x:c r="E703" s="106" t="str">
        <x:v>誤解対策</x:v>
      </x:c>
      <x:c r="F703" s="106" t="str">
        <x:v>A</x:v>
      </x:c>
      <x:c r="G703" s="106" t="str"/>
      <x:c r="H703" s="18" t="str">
        <x:v>種子の中の胚</x:v>
      </x:c>
      <x:c r="I703" s="18" t="str">
        <x:v>受精（じゅせい）卵が分裂してできる次世代の植物体で、幼根・幼芽・子葉などを含む。子房（しぼう）は果実、胚珠（はいしゅ）は種子になるが、受精卵そのものが種子全体になるわけではない。つながり：受精卵／胚珠／種子／子葉</x:v>
      </x:c>
      <x:c r="J703" s="18" t="str">
        <x:v>受精卵／胚珠／種子／子葉</x:v>
      </x:c>
    </x:row>
    <x:row r="704" ht="62" customHeight="1">
      <x:c r="A704" s="106" t="str">
        <x:v>BIO-147</x:v>
      </x:c>
      <x:c r="B704" s="106" t="str">
        <x:v>生物</x:v>
      </x:c>
      <x:c r="C704" s="106" t="str">
        <x:v>中3</x:v>
      </x:c>
      <x:c r="D704" s="106" t="str">
        <x:v>遺伝</x:v>
      </x:c>
      <x:c r="E704" s="106" t="str">
        <x:v>用語</x:v>
      </x:c>
      <x:c r="F704" s="106" t="str">
        <x:v>A</x:v>
      </x:c>
      <x:c r="G704" s="106" t="str"/>
      <x:c r="H704" s="18" t="str">
        <x:v>遺伝（いでん）と形質</x:v>
      </x:c>
      <x:c r="I704" s="18" t="str">
        <x:v>親の形質が子へ伝わる現象が遺伝（いでん）。生物の形や性質の特徴を形質という。形質は遺伝子だけでなく環境の影響も受けるため、同じ遺伝情報でも完全に同じになるとは限らない。つながり：形質／遺伝子／環境／DNA</x:v>
      </x:c>
      <x:c r="J704" s="18" t="str">
        <x:v>形質／遺伝子／環境／DNA</x:v>
      </x:c>
    </x:row>
    <x:row r="705" ht="62" customHeight="1">
      <x:c r="A705" s="106" t="str">
        <x:v>BIO-148</x:v>
      </x:c>
      <x:c r="B705" s="106" t="str">
        <x:v>生物</x:v>
      </x:c>
      <x:c r="C705" s="106" t="str">
        <x:v>中3</x:v>
      </x:c>
      <x:c r="D705" s="106" t="str">
        <x:v>遺伝</x:v>
      </x:c>
      <x:c r="E705" s="106" t="str">
        <x:v>用語</x:v>
      </x:c>
      <x:c r="F705" s="106" t="str">
        <x:v>A</x:v>
      </x:c>
      <x:c r="G705" s="106" t="str"/>
      <x:c r="H705" s="18" t="str">
        <x:v>対立形質</x:v>
      </x:c>
      <x:c r="I705" s="18" t="str">
        <x:v>同じ形質について、区別して比べる対になる現れ方。エンドウの種子の形が丸かしわか、など。単に反対語なら何でも対立形質というわけではない。後続の3:1などの比は、一方だけが現れる完全顕性（けんせい）を仮定する。つながり：形質／優性形質／劣性形質／エンドウ</x:v>
      </x:c>
      <x:c r="J705" s="18" t="str">
        <x:v>形質／優性形質／劣性形質／エンドウ</x:v>
      </x:c>
    </x:row>
    <x:row r="706" ht="62" customHeight="1">
      <x:c r="A706" s="106" t="str">
        <x:v>BIO-149</x:v>
      </x:c>
      <x:c r="B706" s="106" t="str">
        <x:v>生物</x:v>
      </x:c>
      <x:c r="C706" s="106" t="str">
        <x:v>中3</x:v>
      </x:c>
      <x:c r="D706" s="106" t="str">
        <x:v>遺伝</x:v>
      </x:c>
      <x:c r="E706" s="106" t="str">
        <x:v>誤解対策</x:v>
      </x:c>
      <x:c r="F706" s="106" t="str">
        <x:v>A</x:v>
      </x:c>
      <x:c r="G706" s="106" t="n">
        <x:v>140</x:v>
      </x:c>
      <x:c r="H706" s="18" t="str">
        <x:v>顕性形質（けんせいけいしつ）と潜性形質（せんせいけいしつ）</x:v>
      </x:c>
      <x:c r="I706" s="18" t="str">
        <x:v>対立遺伝（いでん）子を1つずつもつ個体で現れる形質を顕性（けんせい）、現れない方を潜性（せんせい）という。旧称は優性・劣性。生存上『優れている・劣っている』という意味ではない。つながり：対立遺伝子／遺伝子型／表現型／メンデル</x:v>
      </x:c>
      <x:c r="J706" s="18" t="str">
        <x:v>対立遺伝子／遺伝子型／表現型／メンデル</x:v>
      </x:c>
    </x:row>
    <x:row r="707" ht="62" customHeight="1">
      <x:c r="A707" s="106" t="str">
        <x:v>BIO-150</x:v>
      </x:c>
      <x:c r="B707" s="106" t="str">
        <x:v>生物</x:v>
      </x:c>
      <x:c r="C707" s="106" t="str">
        <x:v>中3</x:v>
      </x:c>
      <x:c r="D707" s="106" t="str">
        <x:v>遺伝</x:v>
      </x:c>
      <x:c r="E707" s="106" t="str">
        <x:v>用語</x:v>
      </x:c>
      <x:c r="F707" s="106" t="str">
        <x:v>B</x:v>
      </x:c>
      <x:c r="G707" s="106" t="str"/>
      <x:c r="H707" s="18" t="str">
        <x:v>純系</x:v>
      </x:c>
      <x:c r="I707" s="18" t="str">
        <x:v>自家受精（じゅせい）などを何代繰り返しても同じ形質の子だけを生じる系統。ある形質について同じ対立遺伝（いでん）子を2つもつ。メンデルは純系どうしを交配して規則性を調べた。つながり：自家受精／対立遺伝子／メンデル／交配</x:v>
      </x:c>
      <x:c r="J707" s="18" t="str">
        <x:v>自家受精／対立遺伝子／メンデル／交配</x:v>
      </x:c>
    </x:row>
    <x:row r="708" ht="62" customHeight="1">
      <x:c r="A708" s="106" t="str">
        <x:v>BIO-151</x:v>
      </x:c>
      <x:c r="B708" s="106" t="str">
        <x:v>生物</x:v>
      </x:c>
      <x:c r="C708" s="106" t="str">
        <x:v>中3</x:v>
      </x:c>
      <x:c r="D708" s="106" t="str">
        <x:v>遺伝</x:v>
      </x:c>
      <x:c r="E708" s="106" t="str">
        <x:v>用語</x:v>
      </x:c>
      <x:c r="F708" s="106" t="str">
        <x:v>A</x:v>
      </x:c>
      <x:c r="G708" s="106" t="n">
        <x:v>141</x:v>
      </x:c>
      <x:c r="H708" s="18" t="str">
        <x:v>分離の法則</x:v>
      </x:c>
      <x:c r="I708" s="18" t="str">
        <x:v>対になっている対立遺伝（いでん）子は、生殖細胞ができるときに分かれ、各生殖細胞には一方だけが入る。受精（じゅせい）で再び対になる。子の比を求める土台。つながり：対立遺伝子／生殖細胞／受精／遺伝子型</x:v>
      </x:c>
      <x:c r="J708" s="18" t="str">
        <x:v>対立遺伝子／生殖細胞／受精／遺伝子型</x:v>
      </x:c>
    </x:row>
    <x:row r="709" ht="62" customHeight="1">
      <x:c r="A709" s="106" t="str">
        <x:v>BIO-152</x:v>
      </x:c>
      <x:c r="B709" s="106" t="str">
        <x:v>生物</x:v>
      </x:c>
      <x:c r="C709" s="106" t="str">
        <x:v>中3</x:v>
      </x:c>
      <x:c r="D709" s="106" t="str">
        <x:v>遺伝</x:v>
      </x:c>
      <x:c r="E709" s="106" t="str">
        <x:v>計算</x:v>
      </x:c>
      <x:c r="F709" s="106" t="str">
        <x:v>A</x:v>
      </x:c>
      <x:c r="G709" s="106" t="str"/>
      <x:c r="H709" s="18" t="str">
        <x:v>一遺伝（いでん）子雑種のF1</x:v>
      </x:c>
      <x:c r="I709" s="18" t="str">
        <x:v>純系AAと純系aaを交配すると、F1はすべてAaとなり顕性形質（けんせいけいしつ）を示す。『顕性（けんせい）遺伝（いでん）子だけを受け継ぐ』のではなく、潜性（せんせい）のaももっている。つながり：純系／F1／顕性形質／遺伝子型</x:v>
      </x:c>
      <x:c r="J709" s="18" t="str">
        <x:v>純系／F1／顕性形質／遺伝子型</x:v>
      </x:c>
    </x:row>
    <x:row r="710" ht="62" customHeight="1">
      <x:c r="A710" s="106" t="str">
        <x:v>BIO-153</x:v>
      </x:c>
      <x:c r="B710" s="106" t="str">
        <x:v>生物</x:v>
      </x:c>
      <x:c r="C710" s="106" t="str">
        <x:v>中3</x:v>
      </x:c>
      <x:c r="D710" s="106" t="str">
        <x:v>遺伝</x:v>
      </x:c>
      <x:c r="E710" s="106" t="str">
        <x:v>計算</x:v>
      </x:c>
      <x:c r="F710" s="106" t="str">
        <x:v>A</x:v>
      </x:c>
      <x:c r="G710" s="106" t="n">
        <x:v>142</x:v>
      </x:c>
      <x:c r="H710" s="18" t="str">
        <x:v>F2の遺伝（いでん）子型と表現型の比</x:v>
      </x:c>
      <x:c r="I710" s="18" t="str">
        <x:v>F1どうしAa×Aaでは、遺伝（いでん）子型AA:Aa:aa＝1:2:1、完全顕性（けんせい）なら表現型は顕性:潜性（せんせい）＝3:1。個体数が少ない実験では実測値が厳密な比からずれる。つながり：F2／遺伝子型／表現型／分離の法則</x:v>
      </x:c>
      <x:c r="J710" s="18" t="str">
        <x:v>F2／遺伝子型／表現型／分離の法則</x:v>
      </x:c>
    </x:row>
    <x:row r="711" ht="62" customHeight="1">
      <x:c r="A711" s="106" t="str">
        <x:v>BIO-154</x:v>
      </x:c>
      <x:c r="B711" s="106" t="str">
        <x:v>生物</x:v>
      </x:c>
      <x:c r="C711" s="106" t="str">
        <x:v>中3</x:v>
      </x:c>
      <x:c r="D711" s="106" t="str">
        <x:v>遺伝</x:v>
      </x:c>
      <x:c r="E711" s="106" t="str">
        <x:v>計算</x:v>
      </x:c>
      <x:c r="F711" s="106" t="str">
        <x:v>C</x:v>
      </x:c>
      <x:c r="G711" s="106" t="str"/>
      <x:c r="H711" s="18" t="str">
        <x:v>検定交雑（けんていこうざつ）の考え方</x:v>
      </x:c>
      <x:c r="I711" s="18" t="str">
        <x:v>顕性形質（けんせいけいしつ）の個体がAAかAaか調べるには、潜性（せんせい）のaaと交配する。子に潜性形質（せんせいけいしつ）が現れれば親はAa。すべて顕性（けんせい）でも、子の数が少ない場合はAAと断定しきれない。つながり：顕性形質／潜性形質／遺伝（いでん）子型／交配</x:v>
      </x:c>
      <x:c r="J711" s="18" t="str">
        <x:v>顕性形質／潜性形質／遺伝いでん&lt;／rt&gt;&lt;／ruby&gt;子型／交配</x:v>
      </x:c>
    </x:row>
    <x:row r="712" ht="62" customHeight="1">
      <x:c r="A712" s="106" t="str">
        <x:v>BIO-155</x:v>
      </x:c>
      <x:c r="B712" s="106" t="str">
        <x:v>生物</x:v>
      </x:c>
      <x:c r="C712" s="106" t="str">
        <x:v>中3</x:v>
      </x:c>
      <x:c r="D712" s="106" t="str">
        <x:v>遺伝</x:v>
      </x:c>
      <x:c r="E712" s="106" t="str">
        <x:v>誤解対策</x:v>
      </x:c>
      <x:c r="F712" s="106" t="str">
        <x:v>A</x:v>
      </x:c>
      <x:c r="G712" s="106" t="str"/>
      <x:c r="H712" s="18" t="str">
        <x:v>遺伝（いでん）の確率問題</x:v>
      </x:c>
      <x:c r="I712" s="18" t="str">
        <x:v>各子がある形質になる確率は、通常それぞれ独立に考える。確率1/4だから4匹産まれれば必ず1匹という意味ではない。配偶子の組み合わせ表を作ると整理しやすい。つながり：確率／分離の法則／配偶子／組み合わせ表</x:v>
      </x:c>
      <x:c r="J712" s="18" t="str">
        <x:v>確率／分離の法則／配偶子／組み合わせ表</x:v>
      </x:c>
    </x:row>
    <x:row r="713" ht="62" customHeight="1">
      <x:c r="A713" s="106" t="str">
        <x:v>BIO-156</x:v>
      </x:c>
      <x:c r="B713" s="106" t="str">
        <x:v>生物</x:v>
      </x:c>
      <x:c r="C713" s="106" t="str">
        <x:v>中3</x:v>
      </x:c>
      <x:c r="D713" s="106" t="str">
        <x:v>遺伝</x:v>
      </x:c>
      <x:c r="E713" s="106" t="str">
        <x:v>因果</x:v>
      </x:c>
      <x:c r="F713" s="106" t="str">
        <x:v>B</x:v>
      </x:c>
      <x:c r="G713" s="106" t="str"/>
      <x:c r="H713" s="18" t="str">
        <x:v>有性生殖（ゆうせいせいしょく）が多様性を生む理由</x:v>
      </x:c>
      <x:c r="I713" s="18" t="str">
        <x:v>両親由来の遺伝（いでん）子が生殖細胞形成と受精（じゅせい）で組み合わされ、子ごとに異なる組み合わせが生じるため。環境変化に強い個体を含む可能性が増え、集団の存続に有利になりうる。つながり：有性生殖（ゆうせいせいしょく）／遺伝的多様性／受精／自然選択</x:v>
      </x:c>
      <x:c r="J713" s="18" t="str">
        <x:v>有性生殖ゆうせいせいしょく&lt;／rt&gt;&lt;／ruby&gt;／遺伝的多様性／受精／自然選択</x:v>
      </x:c>
    </x:row>
    <x:row r="714" ht="62" customHeight="1">
      <x:c r="A714" s="106" t="str">
        <x:v>BIO-157</x:v>
      </x:c>
      <x:c r="B714" s="106" t="str">
        <x:v>生物</x:v>
      </x:c>
      <x:c r="C714" s="106" t="str">
        <x:v>中3</x:v>
      </x:c>
      <x:c r="D714" s="106" t="str">
        <x:v>生態系</x:v>
      </x:c>
      <x:c r="E714" s="106" t="str">
        <x:v>用語</x:v>
      </x:c>
      <x:c r="F714" s="106" t="str">
        <x:v>A</x:v>
      </x:c>
      <x:c r="G714" s="106" t="str"/>
      <x:c r="H714" s="18" t="str">
        <x:v>生態系</x:v>
      </x:c>
      <x:c r="I714" s="18" t="str">
        <x:v>ある地域の生物群集と、それを取り巻く光・水・空気・土などの非生物的環境を一つのまとまりとして捉えたもの。生物だけを指す語ではない。つながり：生物群集／環境／食物網／物質循環</x:v>
      </x:c>
      <x:c r="J714" s="18" t="str">
        <x:v>生物群集／環境／食物網／物質循環</x:v>
      </x:c>
    </x:row>
    <x:row r="715" ht="62" customHeight="1">
      <x:c r="A715" s="106" t="str">
        <x:v>BIO-158</x:v>
      </x:c>
      <x:c r="B715" s="106" t="str">
        <x:v>生物</x:v>
      </x:c>
      <x:c r="C715" s="106" t="str">
        <x:v>中3</x:v>
      </x:c>
      <x:c r="D715" s="106" t="str">
        <x:v>生態系</x:v>
      </x:c>
      <x:c r="E715" s="106" t="str">
        <x:v>用語</x:v>
      </x:c>
      <x:c r="F715" s="106" t="str">
        <x:v>A</x:v>
      </x:c>
      <x:c r="G715" s="106" t="str"/>
      <x:c r="H715" s="18" t="str">
        <x:v>生産者</x:v>
      </x:c>
      <x:c r="I715" s="18" t="str">
        <x:v>光合成によって無機物から有機物をつくる生物。陸上の植物や水中の植物プランクトンなど。食物連鎖のエネルギーの入口になる。つながり：光合成／植物／有機物／消費者</x:v>
      </x:c>
      <x:c r="J715" s="18" t="str">
        <x:v>光合成／植物／有機物／消費者</x:v>
      </x:c>
    </x:row>
    <x:row r="716" ht="62" customHeight="1">
      <x:c r="A716" s="106" t="str">
        <x:v>BIO-159</x:v>
      </x:c>
      <x:c r="B716" s="106" t="str">
        <x:v>生物</x:v>
      </x:c>
      <x:c r="C716" s="106" t="str">
        <x:v>中3</x:v>
      </x:c>
      <x:c r="D716" s="106" t="str">
        <x:v>生態系</x:v>
      </x:c>
      <x:c r="E716" s="106" t="str">
        <x:v>用語</x:v>
      </x:c>
      <x:c r="F716" s="106" t="str">
        <x:v>A</x:v>
      </x:c>
      <x:c r="G716" s="106" t="str"/>
      <x:c r="H716" s="18" t="str">
        <x:v>消費者</x:v>
      </x:c>
      <x:c r="I716" s="18" t="str">
        <x:v>他の生物やその一部を食べて有機物を得る生物。草食・肉食・雑食動物などを含む。『消費者＝肉食動物』ではなく、生産者を食べる一次消費者もいる。つながり：生産者／一次消費者／食物連鎖／有機物</x:v>
      </x:c>
      <x:c r="J716" s="18" t="str">
        <x:v>生産者／一次消費者／食物連鎖／有機物</x:v>
      </x:c>
    </x:row>
    <x:row r="717" ht="62" customHeight="1">
      <x:c r="A717" s="106" t="str">
        <x:v>BIO-160</x:v>
      </x:c>
      <x:c r="B717" s="106" t="str">
        <x:v>生物</x:v>
      </x:c>
      <x:c r="C717" s="106" t="str">
        <x:v>中3</x:v>
      </x:c>
      <x:c r="D717" s="106" t="str">
        <x:v>生態系</x:v>
      </x:c>
      <x:c r="E717" s="106" t="str">
        <x:v>用語</x:v>
      </x:c>
      <x:c r="F717" s="106" t="str">
        <x:v>A</x:v>
      </x:c>
      <x:c r="G717" s="106" t="str"/>
      <x:c r="H717" s="18" t="str">
        <x:v>分解者（ぶんかいしゃ）</x:v>
      </x:c>
      <x:c r="I717" s="18" t="str">
        <x:v>生物の死がいや排出物に含まれる有機物を無機物へ分解する菌類・細菌類など。呼吸によってエネルギーを得ながら、物質を環境へ戻す。食物網の外にいるわけではない。つながり：菌類／細菌類／無機物／物質循環</x:v>
      </x:c>
      <x:c r="J717" s="18" t="str">
        <x:v>菌類／細菌類／無機物／物質循環</x:v>
      </x:c>
    </x:row>
    <x:row r="718" ht="62" customHeight="1">
      <x:c r="A718" s="106" t="str">
        <x:v>BIO-161</x:v>
      </x:c>
      <x:c r="B718" s="106" t="str">
        <x:v>生物</x:v>
      </x:c>
      <x:c r="C718" s="106" t="str">
        <x:v>中3</x:v>
      </x:c>
      <x:c r="D718" s="106" t="str">
        <x:v>生態系</x:v>
      </x:c>
      <x:c r="E718" s="106" t="str">
        <x:v>読図</x:v>
      </x:c>
      <x:c r="F718" s="106" t="str">
        <x:v>A</x:v>
      </x:c>
      <x:c r="G718" s="106" t="n">
        <x:v>143</x:v>
      </x:c>
      <x:c r="H718" s="18" t="str">
        <x:v>食物連鎖と食物網</x:v>
      </x:c>
      <x:c r="I718" s="18" t="str">
        <x:v>食べる・食べられる一列のつながりが食物連鎖、複数の連鎖が網状に結びついたものが食物網。矢印は多くの場合、食べられる生物から食べる生物へ、物質・エネルギーの移動方向に引く。つながり：生産者／消費者／エネルギー／捕食</x:v>
      </x:c>
      <x:c r="J718" s="18" t="str">
        <x:v>生産者／消費者／エネルギー／捕食</x:v>
      </x:c>
    </x:row>
    <x:row r="719" ht="62" customHeight="1">
      <x:c r="A719" s="106" t="str">
        <x:v>BIO-162</x:v>
      </x:c>
      <x:c r="B719" s="106" t="str">
        <x:v>生物</x:v>
      </x:c>
      <x:c r="C719" s="106" t="str">
        <x:v>中3</x:v>
      </x:c>
      <x:c r="D719" s="106" t="str">
        <x:v>生態系</x:v>
      </x:c>
      <x:c r="E719" s="106" t="str">
        <x:v>因果</x:v>
      </x:c>
      <x:c r="F719" s="106" t="str">
        <x:v>B</x:v>
      </x:c>
      <x:c r="G719" s="106" t="str"/>
      <x:c r="H719" s="18" t="str">
        <x:v>栄養段階が上がると個体数が減りやすい理由</x:v>
      </x:c>
      <x:c r="I719" s="18" t="str">
        <x:v>生物が得たエネルギーの多くは呼吸・運動・熱などに使われ、次の栄養段階へ渡るのは一部だけだから。必ず個体数が減るとは限らないので、総量・生物量で考えることも重要。つながり：栄養段階／エネルギー流／生物量／食物連鎖</x:v>
      </x:c>
      <x:c r="J719" s="18" t="str">
        <x:v>栄養段階／エネルギー流／生物量／食物連鎖</x:v>
      </x:c>
    </x:row>
    <x:row r="720" ht="62" customHeight="1">
      <x:c r="A720" s="106" t="str">
        <x:v>BIO-163</x:v>
      </x:c>
      <x:c r="B720" s="106" t="str">
        <x:v>生物</x:v>
      </x:c>
      <x:c r="C720" s="106" t="str">
        <x:v>中3</x:v>
      </x:c>
      <x:c r="D720" s="106" t="str">
        <x:v>生態系</x:v>
      </x:c>
      <x:c r="E720" s="106" t="str">
        <x:v>読図</x:v>
      </x:c>
      <x:c r="F720" s="106" t="str">
        <x:v>B</x:v>
      </x:c>
      <x:c r="G720" s="106" t="str"/>
      <x:c r="H720" s="18" t="str">
        <x:v>生態ピラミッド</x:v>
      </x:c>
      <x:c r="I720" s="18" t="str">
        <x:v>生産者から高次消費者へ、個体数・生物量・エネルギー量などを積み上げた図。何の量を表すかを確認する。個体数ピラミッドは大木1本に昆虫多数のような逆転もありうる。つながり：生物量／エネルギー量／栄養段階／生産者</x:v>
      </x:c>
      <x:c r="J720" s="18" t="str">
        <x:v>生物量／エネルギー量／栄養段階／生産者</x:v>
      </x:c>
    </x:row>
    <x:row r="721" ht="62" customHeight="1">
      <x:c r="A721" s="106" t="str">
        <x:v>BIO-164</x:v>
      </x:c>
      <x:c r="B721" s="106" t="str">
        <x:v>生物</x:v>
      </x:c>
      <x:c r="C721" s="106" t="str">
        <x:v>中3</x:v>
      </x:c>
      <x:c r="D721" s="106" t="str">
        <x:v>生態系</x:v>
      </x:c>
      <x:c r="E721" s="106" t="str">
        <x:v>因果</x:v>
      </x:c>
      <x:c r="F721" s="106" t="str">
        <x:v>A</x:v>
      </x:c>
      <x:c r="G721" s="106" t="str"/>
      <x:c r="H721" s="18" t="str">
        <x:v>炭素の循環</x:v>
      </x:c>
      <x:c r="I721" s="18" t="str">
        <x:v>植物が光合成で二酸化（さんか）炭素を有機物に取り込み、食物連鎖で移動する。生物の呼吸・分解・燃焼により二酸化炭素として環境へ戻る。物質は循環する。つながり：光合成／呼吸／分解／燃焼</x:v>
      </x:c>
      <x:c r="J721" s="18" t="str">
        <x:v>光合成／呼吸／分解／燃焼</x:v>
      </x:c>
    </x:row>
    <x:row r="722" ht="62" customHeight="1">
      <x:c r="A722" s="106" t="str">
        <x:v>BIO-165</x:v>
      </x:c>
      <x:c r="B722" s="106" t="str">
        <x:v>生物</x:v>
      </x:c>
      <x:c r="C722" s="106" t="str">
        <x:v>中3</x:v>
      </x:c>
      <x:c r="D722" s="106" t="str">
        <x:v>生態系</x:v>
      </x:c>
      <x:c r="E722" s="106" t="str">
        <x:v>比較</x:v>
      </x:c>
      <x:c r="F722" s="106" t="str">
        <x:v>A</x:v>
      </x:c>
      <x:c r="G722" s="106" t="n">
        <x:v>144</x:v>
      </x:c>
      <x:c r="H722" s="18" t="str">
        <x:v>物質循環とエネルギー流の違い</x:v>
      </x:c>
      <x:c r="I722" s="18" t="str">
        <x:v>炭素などの物質は生産者・消費者・分解者（ぶんかいしゃ）と環境の間を循環する。一方、エネルギーは太陽から入り、各段階で熱として失われ、一方向に流れるため循環しない。つながり：物質循環／太陽エネルギー／熱／生態系</x:v>
      </x:c>
      <x:c r="J722" s="18" t="str">
        <x:v>物質循環／太陽エネルギー／熱／生態系</x:v>
      </x:c>
    </x:row>
    <x:row r="723" ht="62" customHeight="1">
      <x:c r="A723" s="106" t="str">
        <x:v>BIO-166</x:v>
      </x:c>
      <x:c r="B723" s="106" t="str">
        <x:v>生物</x:v>
      </x:c>
      <x:c r="C723" s="106" t="str">
        <x:v>中3</x:v>
      </x:c>
      <x:c r="D723" s="106" t="str">
        <x:v>生態系</x:v>
      </x:c>
      <x:c r="E723" s="106" t="str">
        <x:v>因果</x:v>
      </x:c>
      <x:c r="F723" s="106" t="str">
        <x:v>A</x:v>
      </x:c>
      <x:c r="G723" s="106" t="str"/>
      <x:c r="H723" s="18" t="str">
        <x:v>生物数のつり合い</x:v>
      </x:c>
      <x:c r="I723" s="18" t="str">
        <x:v>捕食者が増えると被食者が減り、やがて餌不足で捕食者も減るなど、相互作用によって変動する。一定数で固定されるのではなく、時間とともに増減しながら範囲内に保たれる。つながり：捕食者／被食者／個体群／食物網</x:v>
      </x:c>
      <x:c r="J723" s="18" t="str">
        <x:v>捕食者／被食者／個体群／食物網</x:v>
      </x:c>
    </x:row>
    <x:row r="724" ht="62" customHeight="1">
      <x:c r="A724" s="106" t="str">
        <x:v>BIO-167</x:v>
      </x:c>
      <x:c r="B724" s="106" t="str">
        <x:v>生物</x:v>
      </x:c>
      <x:c r="C724" s="106" t="str">
        <x:v>中3</x:v>
      </x:c>
      <x:c r="D724" s="106" t="str">
        <x:v>生態系</x:v>
      </x:c>
      <x:c r="E724" s="106" t="str">
        <x:v>用語</x:v>
      </x:c>
      <x:c r="F724" s="106" t="str">
        <x:v>B</x:v>
      </x:c>
      <x:c r="G724" s="106" t="str"/>
      <x:c r="H724" s="18" t="str">
        <x:v>外来種</x:v>
      </x:c>
      <x:c r="I724" s="18" t="str">
        <x:v>本来の分布域の外へ人間活動によって持ち込まれた生物。すべてが有害ではないが、在来種を捕食・競争したり交雑したりして生態系へ大きな影響を与えるものがある。つながり：在来種／生物多様性／競争／生態系</x:v>
      </x:c>
      <x:c r="J724" s="18" t="str">
        <x:v>在来種／生物多様性／競争／生態系</x:v>
      </x:c>
    </x:row>
    <x:row r="725" ht="62" customHeight="1">
      <x:c r="A725" s="106" t="str">
        <x:v>BIO-168</x:v>
      </x:c>
      <x:c r="B725" s="106" t="str">
        <x:v>生物</x:v>
      </x:c>
      <x:c r="C725" s="106" t="str">
        <x:v>中3</x:v>
      </x:c>
      <x:c r="D725" s="106" t="str">
        <x:v>生態系</x:v>
      </x:c>
      <x:c r="E725" s="106" t="str">
        <x:v>用語</x:v>
      </x:c>
      <x:c r="F725" s="106" t="str">
        <x:v>C</x:v>
      </x:c>
      <x:c r="G725" s="106" t="str"/>
      <x:c r="H725" s="18" t="str">
        <x:v>生物多様性</x:v>
      </x:c>
      <x:c r="I725" s="18" t="str">
        <x:v>遺伝（いでん）子・種・生態系の各段階に多様性があること。食料・医薬品・水質浄化などの基盤にもなる。単に『生物の種類数が多い』だけより広い概念。つながり：遺伝的多様性／種多様性／生態系多様性／保全</x:v>
      </x:c>
      <x:c r="J725" s="18" t="str">
        <x:v>遺伝的多様性／種多様性／生態系多様性／保全</x:v>
      </x:c>
    </x:row>
    <x:row r="726" ht="62" customHeight="1">
      <x:c r="A726" s="106" t="str">
        <x:v>BIO-169</x:v>
      </x:c>
      <x:c r="B726" s="106" t="str">
        <x:v>生物</x:v>
      </x:c>
      <x:c r="C726" s="106" t="str">
        <x:v>中3</x:v>
      </x:c>
      <x:c r="D726" s="106" t="str">
        <x:v>環境調査</x:v>
      </x:c>
      <x:c r="E726" s="106" t="str">
        <x:v>実験</x:v>
      </x:c>
      <x:c r="F726" s="106" t="str">
        <x:v>C</x:v>
      </x:c>
      <x:c r="G726" s="106" t="str"/>
      <x:c r="H726" s="18" t="str">
        <x:v>方形区法（ほうけいくほう）</x:v>
      </x:c>
      <x:c r="I726" s="18" t="str">
        <x:v>一定面積の方形枠を複数地点に置き、枠内の植物などの個体数・被度（ひど）・頻度（ひんど）を調べて全体を推定する方法。調査地点を無作為または偏りなく選び、十分な数を調べる。つながり：個体数／被度／頻度／標本調査</x:v>
      </x:c>
      <x:c r="J726" s="18" t="str">
        <x:v>個体数／被度／頻度／標本調査</x:v>
      </x:c>
    </x:row>
    <x:row r="727" ht="62" customHeight="1">
      <x:c r="A727" s="106" t="str">
        <x:v>BIO-170</x:v>
      </x:c>
      <x:c r="B727" s="106" t="str">
        <x:v>生物</x:v>
      </x:c>
      <x:c r="C727" s="106" t="str">
        <x:v>中3</x:v>
      </x:c>
      <x:c r="D727" s="106" t="str">
        <x:v>環境調査</x:v>
      </x:c>
      <x:c r="E727" s="106" t="str">
        <x:v>用語</x:v>
      </x:c>
      <x:c r="F727" s="106" t="str">
        <x:v>B</x:v>
      </x:c>
      <x:c r="G727" s="106" t="str"/>
      <x:c r="H727" s="18" t="str">
        <x:v>指標生物</x:v>
      </x:c>
      <x:c r="I727" s="18" t="str">
        <x:v>特定の環境条件に敏感なため、その生息状況から水質などを推定できる生物。1種類だけで断定せず、複数種や物理・化学的測定も合わせて判断する。つながり：水質／環境調査／生息条件／生物多様性</x:v>
      </x:c>
      <x:c r="J727" s="18" t="str">
        <x:v>水質／環境調査／生息条件／生物多様性</x:v>
      </x:c>
    </x:row>
    <x:row r="728" ht="62" customHeight="1">
      <x:c r="A728" s="106" t="str">
        <x:v>BIO-171</x:v>
      </x:c>
      <x:c r="B728" s="106" t="str">
        <x:v>生物</x:v>
      </x:c>
      <x:c r="C728" s="106" t="str">
        <x:v>中3</x:v>
      </x:c>
      <x:c r="D728" s="106" t="str">
        <x:v>環境保全</x:v>
      </x:c>
      <x:c r="E728" s="106" t="str">
        <x:v>因果</x:v>
      </x:c>
      <x:c r="F728" s="106" t="str">
        <x:v>B</x:v>
      </x:c>
      <x:c r="G728" s="106" t="str"/>
      <x:c r="H728" s="18" t="str">
        <x:v>富栄養化と水の汚れ</x:v>
      </x:c>
      <x:c r="I728" s="18" t="str">
        <x:v>窒素・リンを含む排水が湖沼などへ増えると藻類が大量増殖し、死後の分解で酸素が消費され、魚介類が死ぬことがある。栄養が多いほど常に生態系に良いわけではない。つながり：窒素／リン／藻類／溶存酸素</x:v>
      </x:c>
      <x:c r="J728" s="18" t="str">
        <x:v>窒素／リン／藻類／溶存酸素</x:v>
      </x:c>
    </x:row>
    <x:row r="729" ht="62" customHeight="1">
      <x:c r="A729" s="106" t="str">
        <x:v>BIO-172</x:v>
      </x:c>
      <x:c r="B729" s="106" t="str">
        <x:v>生物</x:v>
      </x:c>
      <x:c r="C729" s="106" t="str">
        <x:v>中3</x:v>
      </x:c>
      <x:c r="D729" s="106" t="str">
        <x:v>環境保全</x:v>
      </x:c>
      <x:c r="E729" s="106" t="str">
        <x:v>用語</x:v>
      </x:c>
      <x:c r="F729" s="106" t="str">
        <x:v>C</x:v>
      </x:c>
      <x:c r="G729" s="106" t="str"/>
      <x:c r="H729" s="18" t="str">
        <x:v>持続可能な利用</x:v>
      </x:c>
      <x:c r="I729" s="18" t="str">
        <x:v>将来世代が利用できる環境や資源を損なわず、現在の必要も満たす考え方。保護区・資源管理・再生可能資源の利用・廃棄物削減などを、社会や経済と両立させる。つながり：生物多様性／資源循環／保全／生態系サービス</x:v>
      </x:c>
      <x:c r="J729" s="18" t="str">
        <x:v>生物多様性／資源循環／保全／生態系サービス</x:v>
      </x:c>
    </x:row>
    <x:row r="730" ht="62" customHeight="1">
      <x:c r="A730" s="106" t="str">
        <x:v>EAR-015</x:v>
      </x:c>
      <x:c r="B730" s="106" t="str">
        <x:v>地学</x:v>
      </x:c>
      <x:c r="C730" s="106" t="str">
        <x:v>中3</x:v>
      </x:c>
      <x:c r="D730" s="106" t="str">
        <x:v>星</x:v>
      </x:c>
      <x:c r="E730" s="106" t="str">
        <x:v>因果</x:v>
      </x:c>
      <x:c r="F730" s="106" t="str">
        <x:v>B</x:v>
      </x:c>
      <x:c r="G730" s="106" t="str"/>
      <x:c r="H730" s="18" t="str">
        <x:v>季節で見える星座が変わる理由</x:v>
      </x:c>
      <x:c r="I730" s="18" t="str">
        <x:v>地球が太陽の周りを公転すると、夜に地球から見える宇宙の方向が季節ごとに変わるため。同じ時刻に見える星座は、日ごとに少しずつ西へ移る。つながり：地球の公転／年周運動（ねんしゅううんどう）／星座／季節</x:v>
      </x:c>
      <x:c r="J730" s="18" t="str">
        <x:v>地球の公転／年周運動ねんしゅううんどう&lt;／rt&gt;&lt;／ruby&gt;／星座／季節</x:v>
      </x:c>
    </x:row>
    <x:row r="731" ht="62" customHeight="1">
      <x:c r="A731" s="106" t="str">
        <x:v>EAR-131</x:v>
      </x:c>
      <x:c r="B731" s="106" t="str">
        <x:v>地学</x:v>
      </x:c>
      <x:c r="C731" s="106" t="str">
        <x:v>中3</x:v>
      </x:c>
      <x:c r="D731" s="106" t="str">
        <x:v>天体観測</x:v>
      </x:c>
      <x:c r="E731" s="106" t="str">
        <x:v>用語</x:v>
      </x:c>
      <x:c r="F731" s="106" t="str">
        <x:v>B</x:v>
      </x:c>
      <x:c r="G731" s="106" t="str"/>
      <x:c r="H731" s="18" t="str">
        <x:v>天球</x:v>
      </x:c>
      <x:c r="I731" s="18" t="str">
        <x:v>観測者を中心とする巨大な球面に、天体が投影されているとみなす考え方。実際に星が同じ距離の球面上にあるわけではない。位置や日周運動（にっしゅううんどう）を方位・高度で表すためのモデル。つながり：観測者／方位／高度／日周運動</x:v>
      </x:c>
      <x:c r="J731" s="18" t="str">
        <x:v>観測者／方位／高度／日周運動</x:v>
      </x:c>
    </x:row>
    <x:row r="732" ht="62" customHeight="1">
      <x:c r="A732" s="106" t="str">
        <x:v>EAR-132</x:v>
      </x:c>
      <x:c r="B732" s="106" t="str">
        <x:v>地学</x:v>
      </x:c>
      <x:c r="C732" s="106" t="str">
        <x:v>中3</x:v>
      </x:c>
      <x:c r="D732" s="106" t="str">
        <x:v>天体観測</x:v>
      </x:c>
      <x:c r="E732" s="106" t="str">
        <x:v>用語</x:v>
      </x:c>
      <x:c r="F732" s="106" t="str">
        <x:v>B</x:v>
      </x:c>
      <x:c r="G732" s="106" t="str"/>
      <x:c r="H732" s="18" t="str">
        <x:v>方位と高度</x:v>
      </x:c>
      <x:c r="I732" s="18" t="str">
        <x:v>方位は地平線上の東西南北などの方向、高度は地平線から天体までの角度で、地平線が0°、天頂が90°。同じ星でも時刻・観測地点が変わると値が変わる。角度で表す方位角は、採用する基準方向を確認して読む。つながり：天球／地平線／天頂／天体位置</x:v>
      </x:c>
      <x:c r="J732" s="18" t="str">
        <x:v>天球／地平線／天頂／天体位置</x:v>
      </x:c>
    </x:row>
    <x:row r="733" ht="62" customHeight="1">
      <x:c r="A733" s="106" t="str">
        <x:v>EAR-133</x:v>
      </x:c>
      <x:c r="B733" s="106" t="str">
        <x:v>地学</x:v>
      </x:c>
      <x:c r="C733" s="106" t="str">
        <x:v>中3</x:v>
      </x:c>
      <x:c r="D733" s="106" t="str">
        <x:v>日周運動</x:v>
      </x:c>
      <x:c r="E733" s="106" t="str">
        <x:v>因果</x:v>
      </x:c>
      <x:c r="F733" s="106" t="str">
        <x:v>A</x:v>
      </x:c>
      <x:c r="G733" s="106" t="n">
        <x:v>128</x:v>
      </x:c>
      <x:c r="H733" s="18" t="str">
        <x:v>天体の日周運動（にっしゅううんどう）</x:v>
      </x:c>
      <x:c r="I733" s="18" t="str">
        <x:v>太陽・月・星が1日に東から西へ動いて見える現象。地球が西から東へ約24時間で自転するため、天球が反対向きに回るように見える見かけの運動。つながり：地球の自転／東／西／見かけの運動</x:v>
      </x:c>
      <x:c r="J733" s="18" t="str">
        <x:v>地球の自転／東／西／見かけの運動</x:v>
      </x:c>
    </x:row>
    <x:row r="734" ht="62" customHeight="1">
      <x:c r="A734" s="106" t="str">
        <x:v>EAR-134</x:v>
      </x:c>
      <x:c r="B734" s="106" t="str">
        <x:v>地学</x:v>
      </x:c>
      <x:c r="C734" s="106" t="str">
        <x:v>中3</x:v>
      </x:c>
      <x:c r="D734" s="106" t="str">
        <x:v>日周運動</x:v>
      </x:c>
      <x:c r="E734" s="106" t="str">
        <x:v>計算</x:v>
      </x:c>
      <x:c r="F734" s="106" t="str">
        <x:v>A</x:v>
      </x:c>
      <x:c r="G734" s="106" t="str"/>
      <x:c r="H734" s="18" t="str">
        <x:v>地球の自転速度と天体の角度</x:v>
      </x:c>
      <x:c r="I734" s="18" t="str">
        <x:v>地球は約24時間で360°自転するので、天体の日周運動（にっしゅううんどう）は1時間に約15°。星の軌跡が30°なら露出時間は約2時間と見積もれる。月や太陽固有の運動による小差は別。つながり：自転／360度／日周運動／時間</x:v>
      </x:c>
      <x:c r="J734" s="18" t="str">
        <x:v>自転／360度／日周運動／時間</x:v>
      </x:c>
    </x:row>
    <x:row r="735" ht="62" customHeight="1">
      <x:c r="A735" s="106" t="str">
        <x:v>EAR-135</x:v>
      </x:c>
      <x:c r="B735" s="106" t="str">
        <x:v>地学</x:v>
      </x:c>
      <x:c r="C735" s="106" t="str">
        <x:v>中3</x:v>
      </x:c>
      <x:c r="D735" s="106" t="str">
        <x:v>日周運動</x:v>
      </x:c>
      <x:c r="E735" s="106" t="str">
        <x:v>読図</x:v>
      </x:c>
      <x:c r="F735" s="106" t="str">
        <x:v>A</x:v>
      </x:c>
      <x:c r="G735" s="106" t="n">
        <x:v>129</x:v>
      </x:c>
      <x:c r="H735" s="18" t="str">
        <x:v>北の空の星の動き</x:v>
      </x:c>
      <x:c r="I735" s="18" t="str">
        <x:v>北極星付近を中心に、時間とともに反時計回りに回って見える。北極星は天の北極に近いためほとんど動かない。写真の円弧の中心から北の方向を判断できる。つながり：北極星／天の北極／反時計回り／星の軌跡</x:v>
      </x:c>
      <x:c r="J735" s="18" t="str">
        <x:v>北極星／天の北極／反時計回り／星の軌跡</x:v>
      </x:c>
    </x:row>
    <x:row r="736" ht="62" customHeight="1">
      <x:c r="A736" s="106" t="str">
        <x:v>EAR-136</x:v>
      </x:c>
      <x:c r="B736" s="106" t="str">
        <x:v>地学</x:v>
      </x:c>
      <x:c r="C736" s="106" t="str">
        <x:v>中3</x:v>
      </x:c>
      <x:c r="D736" s="106" t="str">
        <x:v>日周運動</x:v>
      </x:c>
      <x:c r="E736" s="106" t="str">
        <x:v>読図</x:v>
      </x:c>
      <x:c r="F736" s="106" t="str">
        <x:v>A</x:v>
      </x:c>
      <x:c r="G736" s="106" t="str"/>
      <x:c r="H736" s="18" t="str">
        <x:v>南の空の星の動き</x:v>
      </x:c>
      <x:c r="I736" s="18" t="str">
        <x:v>東側から昇り、南の空で最も高くなり、西側へ沈む。南を向いた図では左が東、右が西になり、星は左から右へ動く。方位と紙面の左右を確認する。つながり：南中／東／西／日周運動（にっしゅううんどう）</x:v>
      </x:c>
      <x:c r="J736" s="18" t="str">
        <x:v>南中／東／西／日周運動にっしゅううんどう&lt;／rt&gt;&lt;／ruby&gt;</x:v>
      </x:c>
    </x:row>
    <x:row r="737" ht="62" customHeight="1">
      <x:c r="A737" s="106" t="str">
        <x:v>EAR-137</x:v>
      </x:c>
      <x:c r="B737" s="106" t="str">
        <x:v>地学</x:v>
      </x:c>
      <x:c r="C737" s="106" t="str">
        <x:v>中3</x:v>
      </x:c>
      <x:c r="D737" s="106" t="str">
        <x:v>日周運動</x:v>
      </x:c>
      <x:c r="E737" s="106" t="str">
        <x:v>読図</x:v>
      </x:c>
      <x:c r="F737" s="106" t="str">
        <x:v>B</x:v>
      </x:c>
      <x:c r="G737" s="106" t="str"/>
      <x:c r="H737" s="18" t="str">
        <x:v>東西の空の星の軌跡</x:v>
      </x:c>
      <x:c r="I737" s="18" t="str">
        <x:v>東の空では天体は右上がりに昇り、西の空では右下がりに沈むように見える（日本で各方位を正面に見た典型図）。軌跡の傾きは観測緯度で変わる。つながり：東の空／西の空／自転／緯度</x:v>
      </x:c>
      <x:c r="J737" s="18" t="str">
        <x:v>東の空／西の空／自転／緯度</x:v>
      </x:c>
    </x:row>
    <x:row r="738" ht="62" customHeight="1">
      <x:c r="A738" s="106" t="str">
        <x:v>EAR-138</x:v>
      </x:c>
      <x:c r="B738" s="106" t="str">
        <x:v>地学</x:v>
      </x:c>
      <x:c r="C738" s="106" t="str">
        <x:v>中3</x:v>
      </x:c>
      <x:c r="D738" s="106" t="str">
        <x:v>日周運動</x:v>
      </x:c>
      <x:c r="E738" s="106" t="str">
        <x:v>計算</x:v>
      </x:c>
      <x:c r="F738" s="106" t="str">
        <x:v>A</x:v>
      </x:c>
      <x:c r="G738" s="106" t="str"/>
      <x:c r="H738" s="18" t="str">
        <x:v>北極星の高度と緯度</x:v>
      </x:c>
      <x:c r="I738" s="18" t="str">
        <x:v>北半球では北極星の高度は観測地点の北緯とほぼ等しい。北へ行くほど高く、赤道では地平線付近、北極では天頂付近。経度ではなく緯度を求める手がかり。つながり：北極星／北緯／高度／天の北極</x:v>
      </x:c>
      <x:c r="J738" s="18" t="str">
        <x:v>北極星／北緯／高度／天の北極</x:v>
      </x:c>
    </x:row>
    <x:row r="739" ht="62" customHeight="1">
      <x:c r="A739" s="106" t="str">
        <x:v>EAR-139</x:v>
      </x:c>
      <x:c r="B739" s="106" t="str">
        <x:v>地学</x:v>
      </x:c>
      <x:c r="C739" s="106" t="str">
        <x:v>中3</x:v>
      </x:c>
      <x:c r="D739" s="106" t="str">
        <x:v>年周運動</x:v>
      </x:c>
      <x:c r="E739" s="106" t="str">
        <x:v>因果</x:v>
      </x:c>
      <x:c r="F739" s="106" t="str">
        <x:v>A</x:v>
      </x:c>
      <x:c r="G739" s="106" t="n">
        <x:v>130</x:v>
      </x:c>
      <x:c r="H739" s="18" t="str">
        <x:v>星の年周運動（ねんしゅううんどう）</x:v>
      </x:c>
      <x:c r="I739" s="18" t="str">
        <x:v>同じ時刻に星座を観察すると、日ごとに約1°、1か月で約30°西へ移って見える。地球の公転により、夜に向く宇宙の方向が変わるため。約1年で元に戻る。つながり：地球の公転／星座／1か月30度／季節</x:v>
      </x:c>
      <x:c r="J739" s="18" t="str">
        <x:v>地球の公転／星座／1か月30度／季節</x:v>
      </x:c>
    </x:row>
    <x:row r="740" ht="62" customHeight="1">
      <x:c r="A740" s="106" t="str">
        <x:v>EAR-140</x:v>
      </x:c>
      <x:c r="B740" s="106" t="str">
        <x:v>地学</x:v>
      </x:c>
      <x:c r="C740" s="106" t="str">
        <x:v>中3</x:v>
      </x:c>
      <x:c r="D740" s="106" t="str">
        <x:v>年周運動</x:v>
      </x:c>
      <x:c r="E740" s="106" t="str">
        <x:v>計算</x:v>
      </x:c>
      <x:c r="F740" s="106" t="str">
        <x:v>B</x:v>
      </x:c>
      <x:c r="G740" s="106" t="str"/>
      <x:c r="H740" s="18" t="str">
        <x:v>星を同じ位置で見る時刻のずれ</x:v>
      </x:c>
      <x:c r="I740" s="18" t="str">
        <x:v>星は翌日、同じ位置に約4分早く現れる。1か月なら約2時間早い。同じ時刻で見れば西へ、同じ位置で見れば早い時刻へずれるという二つの表現を結びつける。つながり：年周運動（ねんしゅううんどう）／4分／観測時刻／星座</x:v>
      </x:c>
      <x:c r="J740" s="18" t="str">
        <x:v>年周運動ねんしゅううんどう&lt;／rt&gt;&lt;／ruby&gt;／4分／観測時刻／星座</x:v>
      </x:c>
    </x:row>
    <x:row r="741" ht="62" customHeight="1">
      <x:c r="A741" s="106" t="str">
        <x:v>EAR-141</x:v>
      </x:c>
      <x:c r="B741" s="106" t="str">
        <x:v>地学</x:v>
      </x:c>
      <x:c r="C741" s="106" t="str">
        <x:v>中3</x:v>
      </x:c>
      <x:c r="D741" s="106" t="str">
        <x:v>地球の公転</x:v>
      </x:c>
      <x:c r="E741" s="106" t="str">
        <x:v>用語</x:v>
      </x:c>
      <x:c r="F741" s="106" t="str">
        <x:v>A</x:v>
      </x:c>
      <x:c r="G741" s="106" t="str"/>
      <x:c r="H741" s="18" t="str">
        <x:v>地球の公転</x:v>
      </x:c>
      <x:c r="I741" s="18" t="str">
        <x:v>地球が太陽の周りを約1年で西から東へ回る運動。北極側から見ると反時計回り。地軸は公転面に垂直な方向から約23.4°傾き、ほぼ同じ方向を向いたまま公転する。つながり：公転周期／地軸／季節／年周運動（ねんしゅううんどう）</x:v>
      </x:c>
      <x:c r="J741" s="18" t="str">
        <x:v>公転周期／地軸／季節／年周運動ねんしゅううんどう&lt;／rt&gt;&lt;／ruby&gt;</x:v>
      </x:c>
    </x:row>
    <x:row r="742" ht="62" customHeight="1">
      <x:c r="A742" s="106" t="str">
        <x:v>EAR-142</x:v>
      </x:c>
      <x:c r="B742" s="106" t="str">
        <x:v>地学</x:v>
      </x:c>
      <x:c r="C742" s="106" t="str">
        <x:v>中3</x:v>
      </x:c>
      <x:c r="D742" s="106" t="str">
        <x:v>季節</x:v>
      </x:c>
      <x:c r="E742" s="106" t="str">
        <x:v>誤解対策</x:v>
      </x:c>
      <x:c r="F742" s="106" t="str">
        <x:v>A</x:v>
      </x:c>
      <x:c r="G742" s="106" t="n">
        <x:v>131</x:v>
      </x:c>
      <x:c r="H742" s="18" t="str">
        <x:v>季節が生じる理由</x:v>
      </x:c>
      <x:c r="I742" s="18" t="str">
        <x:v>地軸が公転面に垂直な方向から傾いたまま地球が公転するため、太陽の南中高度（なんちゅうこうど）と昼の長さが季節で変わり、単位面積が受ける日射量が変化する。太陽との距離変化が主因ではない。つながり：地軸の傾き／南中高度／昼の長さ／日射量</x:v>
      </x:c>
      <x:c r="J742" s="18" t="str">
        <x:v>地軸の傾き／南中高度／昼の長さ／日射量</x:v>
      </x:c>
    </x:row>
    <x:row r="743" ht="62" customHeight="1">
      <x:c r="A743" s="106" t="str">
        <x:v>EAR-143</x:v>
      </x:c>
      <x:c r="B743" s="106" t="str">
        <x:v>地学</x:v>
      </x:c>
      <x:c r="C743" s="106" t="str">
        <x:v>中3</x:v>
      </x:c>
      <x:c r="D743" s="106" t="str">
        <x:v>季節</x:v>
      </x:c>
      <x:c r="E743" s="106" t="str">
        <x:v>用語</x:v>
      </x:c>
      <x:c r="F743" s="106" t="str">
        <x:v>A</x:v>
      </x:c>
      <x:c r="G743" s="106" t="str"/>
      <x:c r="H743" s="18" t="str">
        <x:v>春分・秋分</x:v>
      </x:c>
      <x:c r="I743" s="18" t="str">
        <x:v>太陽が真東付近から昇り真西付近に沈み、昼夜の長さがほぼ等しい日。太陽の赤緯が0°で、北半球では南中高度（なんちゅうこうど）＝90°－緯度。実際の昼は大気差などで少し長い。つながり：春分／秋分／真東／南中高度</x:v>
      </x:c>
      <x:c r="J743" s="18" t="str">
        <x:v>春分／秋分／真東／南中高度</x:v>
      </x:c>
    </x:row>
    <x:row r="744" ht="62" customHeight="1">
      <x:c r="A744" s="106" t="str">
        <x:v>EAR-144</x:v>
      </x:c>
      <x:c r="B744" s="106" t="str">
        <x:v>地学</x:v>
      </x:c>
      <x:c r="C744" s="106" t="str">
        <x:v>中3</x:v>
      </x:c>
      <x:c r="D744" s="106" t="str">
        <x:v>季節</x:v>
      </x:c>
      <x:c r="E744" s="106" t="str">
        <x:v>比較</x:v>
      </x:c>
      <x:c r="F744" s="106" t="str">
        <x:v>A</x:v>
      </x:c>
      <x:c r="G744" s="106" t="str"/>
      <x:c r="H744" s="18" t="str">
        <x:v>夏至（げし）と冬至（とうじ）</x:v>
      </x:c>
      <x:c r="I744" s="18" t="str">
        <x:v>日本の大部分など北半球中緯度では、夏至に南中高度（なんちゅうこうど）が最も高く昼が最長で、太陽は真東より北寄りから昇り真西より北寄りへ沈む。冬至は南中高度が最も低く昼が最短で、南寄りから昇り南寄りへ沈む。つながり：夏至／冬至／昼の長さ／日の出方位</x:v>
      </x:c>
      <x:c r="J744" s="18" t="str">
        <x:v>夏至／冬至／昼の長さ／日の出方位</x:v>
      </x:c>
    </x:row>
    <x:row r="745" ht="62" customHeight="1">
      <x:c r="A745" s="106" t="str">
        <x:v>EAR-145</x:v>
      </x:c>
      <x:c r="B745" s="106" t="str">
        <x:v>地学</x:v>
      </x:c>
      <x:c r="C745" s="106" t="str">
        <x:v>中3</x:v>
      </x:c>
      <x:c r="D745" s="106" t="str">
        <x:v>季節</x:v>
      </x:c>
      <x:c r="E745" s="106" t="str">
        <x:v>計算</x:v>
      </x:c>
      <x:c r="F745" s="106" t="str">
        <x:v>A</x:v>
      </x:c>
      <x:c r="G745" s="106" t="n">
        <x:v>132</x:v>
      </x:c>
      <x:c r="H745" s="18" t="str">
        <x:v>太陽の南中高度（なんちゅうこうど）の計算</x:v>
      </x:c>
      <x:c r="I745" s="18" t="str">
        <x:v>日本の大部分など北緯φが23.4°以上の北半球中緯度では、春分・秋分は90°－φ、夏至は90°－φ＋23.4°、冬至は90°－φ－23.4°。一般には太陽の赤緯δを使い、南中時の高度を90°－|φ－δ|で求める。つながり：緯度／夏至／冬至／地軸の傾き</x:v>
      </x:c>
      <x:c r="J745" s="18" t="str">
        <x:v>緯度／夏至／冬至／地軸の傾き</x:v>
      </x:c>
    </x:row>
    <x:row r="746" ht="62" customHeight="1">
      <x:c r="A746" s="106" t="str">
        <x:v>EAR-146</x:v>
      </x:c>
      <x:c r="B746" s="106" t="str">
        <x:v>地学</x:v>
      </x:c>
      <x:c r="C746" s="106" t="str">
        <x:v>中3</x:v>
      </x:c>
      <x:c r="D746" s="106" t="str">
        <x:v>季節</x:v>
      </x:c>
      <x:c r="E746" s="106" t="str">
        <x:v>因果</x:v>
      </x:c>
      <x:c r="F746" s="106" t="str">
        <x:v>A</x:v>
      </x:c>
      <x:c r="G746" s="106" t="str"/>
      <x:c r="H746" s="18" t="str">
        <x:v>南中高度（なんちゅうこうど）と地面の受熱</x:v>
      </x:c>
      <x:c r="I746" s="18" t="str">
        <x:v>太陽高度が高いほど同じ光が狭い面積に集中し、地面が強く暖まりやすい。高度が低いと広い面積に分散し大気中の通過距離も長い。気温の最高は夏至より遅れる。つながり：日射量／太陽高度／季節／気温</x:v>
      </x:c>
      <x:c r="J746" s="18" t="str">
        <x:v>日射量／太陽高度／季節／気温</x:v>
      </x:c>
    </x:row>
    <x:row r="747" ht="62" customHeight="1">
      <x:c r="A747" s="106" t="str">
        <x:v>EAR-147</x:v>
      </x:c>
      <x:c r="B747" s="106" t="str">
        <x:v>地学</x:v>
      </x:c>
      <x:c r="C747" s="106" t="str">
        <x:v>中3</x:v>
      </x:c>
      <x:c r="D747" s="106" t="str">
        <x:v>季節</x:v>
      </x:c>
      <x:c r="E747" s="106" t="str">
        <x:v>読図</x:v>
      </x:c>
      <x:c r="F747" s="106" t="str">
        <x:v>A</x:v>
      </x:c>
      <x:c r="G747" s="106" t="str"/>
      <x:c r="H747" s="18" t="str">
        <x:v>棒の影から方位と季節を読む</x:v>
      </x:c>
      <x:c r="I747" s="18" t="str">
        <x:v>水平な地面では影は太陽と反対方向。日本の大部分など北回帰線より北では、南中時の太陽は南にあり影が北を向く。太陽高度が高いほど影は短く、同じ棒なら正午頃の影は夏に短く冬に長い。つながり：影／南中／太陽高度／方位</x:v>
      </x:c>
      <x:c r="J747" s="18" t="str">
        <x:v>影／南中／太陽高度／方位</x:v>
      </x:c>
    </x:row>
    <x:row r="748" ht="62" customHeight="1">
      <x:c r="A748" s="106" t="str">
        <x:v>EAR-148</x:v>
      </x:c>
      <x:c r="B748" s="106" t="str">
        <x:v>地学</x:v>
      </x:c>
      <x:c r="C748" s="106" t="str">
        <x:v>中3</x:v>
      </x:c>
      <x:c r="D748" s="106" t="str">
        <x:v>太陽</x:v>
      </x:c>
      <x:c r="E748" s="106" t="str">
        <x:v>用語</x:v>
      </x:c>
      <x:c r="F748" s="106" t="str">
        <x:v>B</x:v>
      </x:c>
      <x:c r="G748" s="106" t="str"/>
      <x:c r="H748" s="18" t="str">
        <x:v>太陽の構造とエネルギー</x:v>
      </x:c>
      <x:c r="I748" s="18" t="str">
        <x:v>太陽は主に水素・ヘリウムからなる恒星（こうせい）。中心部の核融合で水素からヘリウムができ、その際のエネルギーが光や熱として放出される。燃焼のように酸素で燃えているわけではない。つながり：恒星／核融合／水素／ヘリウム</x:v>
      </x:c>
      <x:c r="J748" s="18" t="str">
        <x:v>恒星／核融合／水素／ヘリウム</x:v>
      </x:c>
    </x:row>
    <x:row r="749" ht="62" customHeight="1">
      <x:c r="A749" s="106" t="str">
        <x:v>EAR-149</x:v>
      </x:c>
      <x:c r="B749" s="106" t="str">
        <x:v>地学</x:v>
      </x:c>
      <x:c r="C749" s="106" t="str">
        <x:v>中3</x:v>
      </x:c>
      <x:c r="D749" s="106" t="str">
        <x:v>太陽</x:v>
      </x:c>
      <x:c r="E749" s="106" t="str">
        <x:v>用語</x:v>
      </x:c>
      <x:c r="F749" s="106" t="str">
        <x:v>A</x:v>
      </x:c>
      <x:c r="G749" s="106" t="str"/>
      <x:c r="H749" s="18" t="str">
        <x:v>黒点</x:v>
      </x:c>
      <x:c r="I749" s="18" t="str">
        <x:v>太陽表面で周囲より温度が低いため暗く見える部分。日ごとの位置変化から太陽が自転していると分かる。中央付近では円形、縁ではつぶれて見え、太陽表面にある証拠になる。つながり：太陽の自転／表面温度／黒点移動／投影法</x:v>
      </x:c>
      <x:c r="J749" s="18" t="str">
        <x:v>太陽の自転／表面温度／黒点移動／投影法</x:v>
      </x:c>
    </x:row>
    <x:row r="750" ht="62" customHeight="1">
      <x:c r="A750" s="106" t="str">
        <x:v>EAR-150</x:v>
      </x:c>
      <x:c r="B750" s="106" t="str">
        <x:v>地学</x:v>
      </x:c>
      <x:c r="C750" s="106" t="str">
        <x:v>中3</x:v>
      </x:c>
      <x:c r="D750" s="106" t="str">
        <x:v>月</x:v>
      </x:c>
      <x:c r="E750" s="106" t="str">
        <x:v>読図</x:v>
      </x:c>
      <x:c r="F750" s="106" t="str">
        <x:v>A</x:v>
      </x:c>
      <x:c r="G750" s="106" t="n">
        <x:v>145</x:v>
      </x:c>
      <x:c r="H750" s="18" t="str">
        <x:v>新月・上弦・満月・下弦の位置</x:v>
      </x:c>
      <x:c r="I750" s="18" t="str">
        <x:v>新月は月が太陽とほぼ同方向、満月は太陽と反対方向。上弦・下弦は地球から見て太陽方向と約90°。月の照らされた側は常に太陽を向く。つながり：新月／上弦の月／満月／下弦の月</x:v>
      </x:c>
      <x:c r="J750" s="18" t="str">
        <x:v>新月／上弦の月／満月／下弦の月</x:v>
      </x:c>
    </x:row>
    <x:row r="751" ht="62" customHeight="1">
      <x:c r="A751" s="106" t="str">
        <x:v>EAR-151</x:v>
      </x:c>
      <x:c r="B751" s="106" t="str">
        <x:v>地学</x:v>
      </x:c>
      <x:c r="C751" s="106" t="str">
        <x:v>中3</x:v>
      </x:c>
      <x:c r="D751" s="106" t="str">
        <x:v>月</x:v>
      </x:c>
      <x:c r="E751" s="106" t="str">
        <x:v>比較</x:v>
      </x:c>
      <x:c r="F751" s="106" t="str">
        <x:v>A</x:v>
      </x:c>
      <x:c r="G751" s="106" t="n">
        <x:v>146</x:v>
      </x:c>
      <x:c r="H751" s="18" t="str">
        <x:v>四つの月相の出・南中時刻</x:v>
      </x:c>
      <x:c r="I751" s="18" t="str">
        <x:v>新月は太陽とほぼ同時に昇り昼ごろ南中するが、太陽と同方向なので通常は見えない。満月は日没ごろ昇り真夜中ごろ南中、上弦は正午ごろ昇り日没ごろ南中、下弦は真夜中ごろ昇り日の出ごろ南中する。つながり：月の出／南中／月の入り／満ち欠け</x:v>
      </x:c>
      <x:c r="J751" s="18" t="str">
        <x:v>月の出／南中／月の入り／満ち欠け</x:v>
      </x:c>
    </x:row>
    <x:row r="752" ht="62" customHeight="1">
      <x:c r="A752" s="106" t="str">
        <x:v>EAR-152</x:v>
      </x:c>
      <x:c r="B752" s="106" t="str">
        <x:v>地学</x:v>
      </x:c>
      <x:c r="C752" s="106" t="str">
        <x:v>中3</x:v>
      </x:c>
      <x:c r="D752" s="106" t="str">
        <x:v>月</x:v>
      </x:c>
      <x:c r="E752" s="106" t="str">
        <x:v>因果</x:v>
      </x:c>
      <x:c r="F752" s="106" t="str">
        <x:v>A</x:v>
      </x:c>
      <x:c r="G752" s="106" t="str"/>
      <x:c r="H752" s="18" t="str">
        <x:v>月が毎日遅れて見える理由</x:v>
      </x:c>
      <x:c r="I752" s="18" t="str">
        <x:v>月が地球の周りを西から東へ公転し、1日に星空に対して約13°東へ移動するため、地球が余分に自転する必要がある。月の出・南中・月の入りは平均約50分ずつ遅くなる。つながり：月の公転／13度／50分／南中時刻</x:v>
      </x:c>
      <x:c r="J752" s="18" t="str">
        <x:v>月の公転／13度／50分／南中時刻</x:v>
      </x:c>
    </x:row>
    <x:row r="753" ht="62" customHeight="1">
      <x:c r="A753" s="106" t="str">
        <x:v>EAR-153</x:v>
      </x:c>
      <x:c r="B753" s="106" t="str">
        <x:v>地学</x:v>
      </x:c>
      <x:c r="C753" s="106" t="str">
        <x:v>中3</x:v>
      </x:c>
      <x:c r="D753" s="106" t="str">
        <x:v>月</x:v>
      </x:c>
      <x:c r="E753" s="106" t="str">
        <x:v>誤解対策</x:v>
      </x:c>
      <x:c r="F753" s="106" t="str">
        <x:v>A</x:v>
      </x:c>
      <x:c r="G753" s="106" t="str"/>
      <x:c r="H753" s="18" t="str">
        <x:v>月の自転と公転</x:v>
      </x:c>
      <x:c r="I753" s="18" t="str">
        <x:v>月は星空に対して約27.3日で地球を公転し、自転周期もほぼ同じため、地球にはほぼ同じ面を向け続ける。地球も太陽の周りを進むので、満ち欠けが同じ形へ戻る周期は約29.5日。月が自転していないなら、公転中に違う面が見えるはずである。つながり：同期回転／公転周期／満ち欠け／月の裏側</x:v>
      </x:c>
      <x:c r="J753" s="18" t="str">
        <x:v>同期回転／公転周期／満ち欠け／月の裏側</x:v>
      </x:c>
    </x:row>
    <x:row r="754" ht="62" customHeight="1">
      <x:c r="A754" s="106" t="str">
        <x:v>EAR-154</x:v>
      </x:c>
      <x:c r="B754" s="106" t="str">
        <x:v>地学</x:v>
      </x:c>
      <x:c r="C754" s="106" t="str">
        <x:v>中3</x:v>
      </x:c>
      <x:c r="D754" s="106" t="str">
        <x:v>食</x:v>
      </x:c>
      <x:c r="E754" s="106" t="str">
        <x:v>用語</x:v>
      </x:c>
      <x:c r="F754" s="106" t="str">
        <x:v>A</x:v>
      </x:c>
      <x:c r="G754" s="106" t="str"/>
      <x:c r="H754" s="18" t="str">
        <x:v>日食（にっしょく）</x:v>
      </x:c>
      <x:c r="I754" s="18" t="str">
        <x:v>新月のころ、太陽・月・地球がほぼ一直線に並び、月が太陽を隠す現象。月の影が地球上の限られた範囲を通るため、毎月どこでも見られるわけではない。観察には専用遮光具が必要。つながり：新月／月の影／皆既日食（にっしょく）／太陽観察</x:v>
      </x:c>
      <x:c r="J754" s="18" t="str">
        <x:v>新月／月の影／皆既日食にっしょく&lt;／rt&gt;&lt;／ruby&gt;／太陽観察</x:v>
      </x:c>
    </x:row>
    <x:row r="755" ht="62" customHeight="1">
      <x:c r="A755" s="106" t="str">
        <x:v>EAR-155</x:v>
      </x:c>
      <x:c r="B755" s="106" t="str">
        <x:v>地学</x:v>
      </x:c>
      <x:c r="C755" s="106" t="str">
        <x:v>中3</x:v>
      </x:c>
      <x:c r="D755" s="106" t="str">
        <x:v>食</x:v>
      </x:c>
      <x:c r="E755" s="106" t="str">
        <x:v>用語</x:v>
      </x:c>
      <x:c r="F755" s="106" t="str">
        <x:v>A</x:v>
      </x:c>
      <x:c r="G755" s="106" t="str"/>
      <x:c r="H755" s="18" t="str">
        <x:v>月食（げっしょく）</x:v>
      </x:c>
      <x:c r="I755" s="18" t="str">
        <x:v>満月のころ、太陽・地球・月がほぼ一直線に並び、月が地球の影に入る現象。地球の大気で屈折（くっせつ）した赤い光が届き、皆既月食（げっしょく）中に赤銅色に見えることがある。つながり：満月／地球の影／皆既月食／太陽光</x:v>
      </x:c>
      <x:c r="J755" s="18" t="str">
        <x:v>満月／地球の影／皆既月食／太陽光</x:v>
      </x:c>
    </x:row>
    <x:row r="756" ht="62" customHeight="1">
      <x:c r="A756" s="106" t="str">
        <x:v>EAR-156</x:v>
      </x:c>
      <x:c r="B756" s="106" t="str">
        <x:v>地学</x:v>
      </x:c>
      <x:c r="C756" s="106" t="str">
        <x:v>中3</x:v>
      </x:c>
      <x:c r="D756" s="106" t="str">
        <x:v>食</x:v>
      </x:c>
      <x:c r="E756" s="106" t="str">
        <x:v>因果</x:v>
      </x:c>
      <x:c r="F756" s="106" t="str">
        <x:v>B</x:v>
      </x:c>
      <x:c r="G756" s="106" t="str"/>
      <x:c r="H756" s="18" t="str">
        <x:v>日食（にっしょく）・月食（げっしょく）が毎月起こらない理由</x:v>
      </x:c>
      <x:c r="I756" s="18" t="str">
        <x:v>月の公転面が地球の公転面に対して約5°傾いており、新月や満月でも多くは一直線に並ばず影が外れるため。二つの公転面の交線付近で条件がそろうと起こる。つながり：月の公転面／黄道面／新月／満月</x:v>
      </x:c>
      <x:c r="J756" s="18" t="str">
        <x:v>月の公転面／黄道面／新月／満月</x:v>
      </x:c>
    </x:row>
    <x:row r="757" ht="62" customHeight="1">
      <x:c r="A757" s="106" t="str">
        <x:v>EAR-157</x:v>
      </x:c>
      <x:c r="B757" s="106" t="str">
        <x:v>地学</x:v>
      </x:c>
      <x:c r="C757" s="106" t="str">
        <x:v>中3</x:v>
      </x:c>
      <x:c r="D757" s="106" t="str">
        <x:v>太陽系</x:v>
      </x:c>
      <x:c r="E757" s="106" t="str">
        <x:v>用語</x:v>
      </x:c>
      <x:c r="F757" s="106" t="str">
        <x:v>A</x:v>
      </x:c>
      <x:c r="G757" s="106" t="str"/>
      <x:c r="H757" s="18" t="str">
        <x:v>太陽系の惑星（わくせい）の順序</x:v>
      </x:c>
      <x:c r="I757" s="18" t="str">
        <x:v>太陽に近い順に水星・金星・地球・火星・木星・土星・天王星・海王星。惑星（わくせい）は太陽の周りをほぼ同一平面上で同じ向きに公転する。冥王星は準惑星。つながり：水星／地球型惑星／木星型惑星／準惑星</x:v>
      </x:c>
      <x:c r="J757" s="18" t="str">
        <x:v>水星／地球型惑星／木星型惑星／準惑星</x:v>
      </x:c>
    </x:row>
    <x:row r="758" ht="62" customHeight="1">
      <x:c r="A758" s="106" t="str">
        <x:v>EAR-158</x:v>
      </x:c>
      <x:c r="B758" s="106" t="str">
        <x:v>地学</x:v>
      </x:c>
      <x:c r="C758" s="106" t="str">
        <x:v>中3</x:v>
      </x:c>
      <x:c r="D758" s="106" t="str">
        <x:v>太陽系</x:v>
      </x:c>
      <x:c r="E758" s="106" t="str">
        <x:v>比較</x:v>
      </x:c>
      <x:c r="F758" s="106" t="str">
        <x:v>A</x:v>
      </x:c>
      <x:c r="G758" s="106" t="str"/>
      <x:c r="H758" s="18" t="str">
        <x:v>地球型惑星（わくせい）と木星型惑星</x:v>
      </x:c>
      <x:c r="I758" s="18" t="str">
        <x:v>地球型は水星・金星・地球・火星で、小さく高密度の岩石質。木星型は木星・土星・天王星・海王星で、大きく低密度、厚い大気と多くの衛星（えいせい）・環をもつ。つながり：岩石質／密度／衛星／環</x:v>
      </x:c>
      <x:c r="J758" s="18" t="str">
        <x:v>岩石質／密度／衛星／環</x:v>
      </x:c>
    </x:row>
    <x:row r="759" ht="62" customHeight="1">
      <x:c r="A759" s="106" t="str">
        <x:v>EAR-159</x:v>
      </x:c>
      <x:c r="B759" s="106" t="str">
        <x:v>地学</x:v>
      </x:c>
      <x:c r="C759" s="106" t="str">
        <x:v>中3</x:v>
      </x:c>
      <x:c r="D759" s="106" t="str">
        <x:v>太陽系</x:v>
      </x:c>
      <x:c r="E759" s="106" t="str">
        <x:v>比較</x:v>
      </x:c>
      <x:c r="F759" s="106" t="str">
        <x:v>A</x:v>
      </x:c>
      <x:c r="G759" s="106" t="n">
        <x:v>147</x:v>
      </x:c>
      <x:c r="H759" s="18" t="str">
        <x:v>恒星（こうせい）・惑星（わくせい）・衛星（えいせい）</x:v>
      </x:c>
      <x:c r="I759" s="18" t="str">
        <x:v>恒星（こうせい）は自ら光を放つ天体、惑星（わくせい）は恒星の周りを回り主に反射（はんしゃ）光で見える天体、衛星（えいせい）は惑星などの周りを回る天体。太陽は恒星、地球は惑星、月は衛星。つながり：恒星／惑星／衛星／太陽</x:v>
      </x:c>
      <x:c r="J759" s="18" t="str">
        <x:v>恒星／惑星／衛星／太陽</x:v>
      </x:c>
    </x:row>
    <x:row r="760" ht="62" customHeight="1">
      <x:c r="A760" s="106" t="str">
        <x:v>EAR-160</x:v>
      </x:c>
      <x:c r="B760" s="106" t="str">
        <x:v>地学</x:v>
      </x:c>
      <x:c r="C760" s="106" t="str">
        <x:v>中3</x:v>
      </x:c>
      <x:c r="D760" s="106" t="str">
        <x:v>惑星観察</x:v>
      </x:c>
      <x:c r="E760" s="106" t="str">
        <x:v>比較</x:v>
      </x:c>
      <x:c r="F760" s="106" t="str">
        <x:v>A</x:v>
      </x:c>
      <x:c r="G760" s="106" t="str"/>
      <x:c r="H760" s="18" t="str">
        <x:v>内惑星（わくせい）と外惑星</x:v>
      </x:c>
      <x:c r="I760" s="18" t="str">
        <x:v>地球軌道より内側を回る水星・金星が内惑星（わくせい）、外側を回る火星以遠が外惑星。内惑星は太陽から大きく離れて見えず、真夜中には基本的に見えない。つながり：水星／金星／最大離角／外惑星</x:v>
      </x:c>
      <x:c r="J760" s="18" t="str">
        <x:v>水星／金星／最大離角／外惑星</x:v>
      </x:c>
    </x:row>
    <x:row r="761" ht="62" customHeight="1">
      <x:c r="A761" s="106" t="str">
        <x:v>EAR-161</x:v>
      </x:c>
      <x:c r="B761" s="106" t="str">
        <x:v>地学</x:v>
      </x:c>
      <x:c r="C761" s="106" t="str">
        <x:v>中3</x:v>
      </x:c>
      <x:c r="D761" s="106" t="str">
        <x:v>惑星観察</x:v>
      </x:c>
      <x:c r="E761" s="106" t="str">
        <x:v>因果</x:v>
      </x:c>
      <x:c r="F761" s="106" t="str">
        <x:v>A</x:v>
      </x:c>
      <x:c r="G761" s="106" t="n">
        <x:v>148</x:v>
      </x:c>
      <x:c r="H761" s="18" t="str">
        <x:v>金星が満ち欠けする理由</x:v>
      </x:c>
      <x:c r="I761" s="18" t="str">
        <x:v>金星が太陽光で照らされた半球を見る角度が、公転によって変わるため。地球に近いと細い三日月形で見かけが大きく、遠いと丸みに近く小さく見える。月と同じく自ら光らない。つながり：内惑星（わくせい）／公転／位相／見かけの大きさ</x:v>
      </x:c>
      <x:c r="J761" s="18" t="str">
        <x:v>内惑星わくせい&lt;／rt&gt;&lt;／ruby&gt;／公転／位相／見かけの大きさ</x:v>
      </x:c>
    </x:row>
    <x:row r="762" ht="62" customHeight="1">
      <x:c r="A762" s="106" t="str">
        <x:v>EAR-162</x:v>
      </x:c>
      <x:c r="B762" s="106" t="str">
        <x:v>地学</x:v>
      </x:c>
      <x:c r="C762" s="106" t="str">
        <x:v>中3</x:v>
      </x:c>
      <x:c r="D762" s="106" t="str">
        <x:v>惑星観察</x:v>
      </x:c>
      <x:c r="E762" s="106" t="str">
        <x:v>読図</x:v>
      </x:c>
      <x:c r="F762" s="106" t="str">
        <x:v>A</x:v>
      </x:c>
      <x:c r="G762" s="106" t="str"/>
      <x:c r="H762" s="18" t="str">
        <x:v>明けの明星と宵の明星</x:v>
      </x:c>
      <x:c r="I762" s="18" t="str">
        <x:v>金星が太陽の西側に見えると太陽より先に昇り、日の出前の東の空で明けの明星。東側に見えると日没後の西の空で宵の明星。方角は観測時刻と組で覚える。つながり：金星／日の出／日没／内惑星（わくせい）</x:v>
      </x:c>
      <x:c r="J762" s="18" t="str">
        <x:v>金星／日の出／日没／内惑星わくせい&lt;／rt&gt;&lt;／ruby&gt;</x:v>
      </x:c>
    </x:row>
    <x:row r="763" ht="62" customHeight="1">
      <x:c r="A763" s="106" t="str">
        <x:v>EAR-163</x:v>
      </x:c>
      <x:c r="B763" s="106" t="str">
        <x:v>地学</x:v>
      </x:c>
      <x:c r="C763" s="106" t="str">
        <x:v>中3</x:v>
      </x:c>
      <x:c r="D763" s="106" t="str">
        <x:v>惑星観察</x:v>
      </x:c>
      <x:c r="E763" s="106" t="str">
        <x:v>用語</x:v>
      </x:c>
      <x:c r="F763" s="106" t="str">
        <x:v>B</x:v>
      </x:c>
      <x:c r="G763" s="106" t="str"/>
      <x:c r="H763" s="18" t="str">
        <x:v>最大離角（さいだいりかく）</x:v>
      </x:c>
      <x:c r="I763" s="18" t="str">
        <x:v>地球から見た内惑星（わくせい）と太陽の角距離が最大になる位置。東方最大離角では日没後の西空、西方最大離角では日の出前の東空で観察しやすい。太陽から90°まで離れるわけではない。つながり：内惑星／金星／水星／角距離</x:v>
      </x:c>
      <x:c r="J763" s="18" t="str">
        <x:v>内惑星／金星／水星／角距離</x:v>
      </x:c>
    </x:row>
    <x:row r="764" ht="62" customHeight="1">
      <x:c r="A764" s="106" t="str">
        <x:v>EAR-164</x:v>
      </x:c>
      <x:c r="B764" s="106" t="str">
        <x:v>地学</x:v>
      </x:c>
      <x:c r="C764" s="106" t="str">
        <x:v>中3</x:v>
      </x:c>
      <x:c r="D764" s="106" t="str">
        <x:v>太陽系</x:v>
      </x:c>
      <x:c r="E764" s="106" t="str">
        <x:v>比較</x:v>
      </x:c>
      <x:c r="F764" s="106" t="str">
        <x:v>B</x:v>
      </x:c>
      <x:c r="G764" s="106" t="str"/>
      <x:c r="H764" s="18" t="str">
        <x:v>小惑星（わくせい）・彗星（すいせい）・流星</x:v>
      </x:c>
      <x:c r="I764" s="18" t="str">
        <x:v>小惑星（わくせい）は主に火星と木星の間などを公転する小天体。彗星は氷やちりを含み、太陽に近づくと尾を生じ、尾は太陽と反対向き。流星は小粒子が大気中で発光する現象。つながり：小惑星帯／彗星／流星体／太陽風</x:v>
      </x:c>
      <x:c r="J764" s="18" t="str">
        <x:v>小惑星帯／彗星／流星体／太陽風</x:v>
      </x:c>
    </x:row>
    <x:row r="765" ht="62" customHeight="1">
      <x:c r="A765" s="106" t="str">
        <x:v>EAR-165</x:v>
      </x:c>
      <x:c r="B765" s="106" t="str">
        <x:v>地学</x:v>
      </x:c>
      <x:c r="C765" s="106" t="str">
        <x:v>中3</x:v>
      </x:c>
      <x:c r="D765" s="106" t="str">
        <x:v>宇宙</x:v>
      </x:c>
      <x:c r="E765" s="106" t="str">
        <x:v>用語</x:v>
      </x:c>
      <x:c r="F765" s="106" t="str">
        <x:v>A</x:v>
      </x:c>
      <x:c r="G765" s="106" t="str"/>
      <x:c r="H765" s="18" t="str">
        <x:v>光年</x:v>
      </x:c>
      <x:c r="I765" s="18" t="str">
        <x:v>光が真空中を1年間に進む距離で、約9.46兆km。時間の単位ではなく距離の単位。遠い天体を見ることは、その天体の過去の姿を見ることでもある。つながり：光速／距離／恒星（こうせい）／過去の光</x:v>
      </x:c>
      <x:c r="J765" s="18" t="str">
        <x:v>光速／距離／恒星こうせい&lt;／rt&gt;&lt;／ruby&gt;／過去の光</x:v>
      </x:c>
    </x:row>
    <x:row r="766" ht="62" customHeight="1">
      <x:c r="A766" s="106" t="str">
        <x:v>EAR-166</x:v>
      </x:c>
      <x:c r="B766" s="106" t="str">
        <x:v>地学</x:v>
      </x:c>
      <x:c r="C766" s="106" t="str">
        <x:v>中3</x:v>
      </x:c>
      <x:c r="D766" s="106" t="str">
        <x:v>宇宙</x:v>
      </x:c>
      <x:c r="E766" s="106" t="str">
        <x:v>用語</x:v>
      </x:c>
      <x:c r="F766" s="106" t="str">
        <x:v>B</x:v>
      </x:c>
      <x:c r="G766" s="106" t="str"/>
      <x:c r="H766" s="18" t="str">
        <x:v>銀河系（ぎんがけい）</x:v>
      </x:c>
      <x:c r="I766" s="18" t="str">
        <x:v>太陽系を含む多数の恒星（こうせい）・星間物質からなる銀河で、直径は約10万光年。太陽系は中心ではなく円盤部の外寄りにある。夜空の天の川は円盤内を見た姿。つながり：太陽系／天の川／恒星／光年</x:v>
      </x:c>
      <x:c r="J766" s="18" t="str">
        <x:v>太陽系／天の川／恒星／光年</x:v>
      </x:c>
    </x:row>
    <x:row r="767" ht="62" customHeight="1">
      <x:c r="A767" s="106" t="str">
        <x:v>EAR-167</x:v>
      </x:c>
      <x:c r="B767" s="106" t="str">
        <x:v>地学</x:v>
      </x:c>
      <x:c r="C767" s="106" t="str">
        <x:v>中3</x:v>
      </x:c>
      <x:c r="D767" s="106" t="str">
        <x:v>宇宙</x:v>
      </x:c>
      <x:c r="E767" s="106" t="str">
        <x:v>比較</x:v>
      </x:c>
      <x:c r="F767" s="106" t="str">
        <x:v>C</x:v>
      </x:c>
      <x:c r="G767" s="106" t="str"/>
      <x:c r="H767" s="18" t="str">
        <x:v>銀河と宇宙の大規模構造</x:v>
      </x:c>
      <x:c r="I767" s="18" t="str">
        <x:v>銀河は多数の恒星（こうせい）などからなる巨大な集団で、宇宙には銀河系（ぎんがけい）以外にも無数にある。銀河が群や団をつくり、さらに網目状に分布する。銀河系と太陽系を混同しない。つながり：銀河系／銀河団／恒星／宇宙</x:v>
      </x:c>
      <x:c r="J767" s="18" t="str">
        <x:v>銀河系／銀河団／恒星／宇宙</x:v>
      </x:c>
    </x:row>
    <x:row r="768" ht="62" customHeight="1">
      <x:c r="A768" s="106" t="str">
        <x:v>INQ-001</x:v>
      </x:c>
      <x:c r="B768" s="106" t="str">
        <x:v>探究</x:v>
      </x:c>
      <x:c r="C768" s="106" t="str">
        <x:v>横断</x:v>
      </x:c>
      <x:c r="D768" s="106" t="str">
        <x:v>観察の基礎</x:v>
      </x:c>
      <x:c r="E768" s="106" t="str">
        <x:v>比較</x:v>
      </x:c>
      <x:c r="F768" s="106" t="str">
        <x:v>A</x:v>
      </x:c>
      <x:c r="G768" s="106" t="str"/>
      <x:c r="H768" s="18" t="str">
        <x:v>生き物らしさを調べる観点</x:v>
      </x:c>
      <x:c r="I768" s="18" t="str">
        <x:v>一度動いたかだけで決めず、成長する、子を残す、周囲から物質やエネルギーを取り入れるなど、複数の特徴を継続して調べる。種や休眠中の生物のように、その場で動かない生物もいる。つながり：生物／成長／継続観察／分類</x:v>
      </x:c>
      <x:c r="J768" s="18" t="str">
        <x:v>生物／成長／継続観察／分類</x:v>
      </x:c>
    </x:row>
    <x:row r="769" ht="62" customHeight="1">
      <x:c r="A769" s="106" t="str">
        <x:v>INQ-002</x:v>
      </x:c>
      <x:c r="B769" s="106" t="str">
        <x:v>探究</x:v>
      </x:c>
      <x:c r="C769" s="106" t="str">
        <x:v>横断</x:v>
      </x:c>
      <x:c r="D769" s="106" t="str">
        <x:v>観察の基礎</x:v>
      </x:c>
      <x:c r="E769" s="106" t="str">
        <x:v>比較</x:v>
      </x:c>
      <x:c r="F769" s="106" t="str">
        <x:v>A</x:v>
      </x:c>
      <x:c r="G769" s="106" t="str"/>
      <x:c r="H769" s="18" t="str">
        <x:v>同じところと違うところ</x:v>
      </x:c>
      <x:c r="I769" s="18" t="str">
        <x:v>二つ以上の対象を同じ観点で比べると、共通点から仲間をまとめ、相違点から問いを見つけられる。色だけでなく、形・大きさ・数・場所・動きなど観点を明示する。つながり：比較／分類／観点／問題発見</x:v>
      </x:c>
      <x:c r="J769" s="18" t="str">
        <x:v>比較／分類／観点／問題発見</x:v>
      </x:c>
    </x:row>
    <x:row r="770" ht="62" customHeight="1">
      <x:c r="A770" s="106" t="str">
        <x:v>INQ-003</x:v>
      </x:c>
      <x:c r="B770" s="106" t="str">
        <x:v>探究</x:v>
      </x:c>
      <x:c r="C770" s="106" t="str">
        <x:v>横断</x:v>
      </x:c>
      <x:c r="D770" s="106" t="str">
        <x:v>観察の基礎</x:v>
      </x:c>
      <x:c r="E770" s="106" t="str">
        <x:v>実験</x:v>
      </x:c>
      <x:c r="F770" s="106" t="str">
        <x:v>A</x:v>
      </x:c>
      <x:c r="G770" s="106" t="str"/>
      <x:c r="H770" s="18" t="str">
        <x:v>季節の変化を公平に比べる観察</x:v>
      </x:c>
      <x:c r="I770" s="18" t="str">
        <x:v>同じ場所・同じ種類の生物を、時刻や記録方法をなるべくそろえて繰り返し観察する。対象や場所まで変えると、季節以外の違いが混ざる。つながり：季節／定点観察／条件制御／気温</x:v>
      </x:c>
      <x:c r="J770" s="18" t="str">
        <x:v>季節／定点観察／条件制御／気温</x:v>
      </x:c>
    </x:row>
    <x:row r="771" ht="62" customHeight="1">
      <x:c r="A771" s="106" t="str">
        <x:v>INQ-004</x:v>
      </x:c>
      <x:c r="B771" s="106" t="str">
        <x:v>探究</x:v>
      </x:c>
      <x:c r="C771" s="106" t="str">
        <x:v>横断</x:v>
      </x:c>
      <x:c r="D771" s="106" t="str">
        <x:v>観察の基礎</x:v>
      </x:c>
      <x:c r="E771" s="106" t="str">
        <x:v>因果</x:v>
      </x:c>
      <x:c r="F771" s="106" t="str">
        <x:v>A</x:v>
      </x:c>
      <x:c r="G771" s="106" t="str"/>
      <x:c r="H771" s="18" t="str">
        <x:v>季節と生物の変化を結び付ける記録</x:v>
      </x:c>
      <x:c r="I771" s="18" t="str">
        <x:v>日付だけでなく、気温・日当たり・生物の姿や活動を同時に記録する。同時に変わっただけでは気温が唯一の原因とは決められないが、関係を考える証拠になる。つながり：季節／気温／生物の活動／相関</x:v>
      </x:c>
      <x:c r="J771" s="18" t="str">
        <x:v>季節／気温／生物の活動／相関</x:v>
      </x:c>
    </x:row>
    <x:row r="772" ht="62" customHeight="1">
      <x:c r="A772" s="106" t="str">
        <x:v>INQ-005</x:v>
      </x:c>
      <x:c r="B772" s="106" t="str">
        <x:v>探究</x:v>
      </x:c>
      <x:c r="C772" s="106" t="str">
        <x:v>横断</x:v>
      </x:c>
      <x:c r="D772" s="106" t="str">
        <x:v>観察の基礎</x:v>
      </x:c>
      <x:c r="E772" s="106" t="str">
        <x:v>実験</x:v>
      </x:c>
      <x:c r="F772" s="106" t="str">
        <x:v>A</x:v>
      </x:c>
      <x:c r="G772" s="106" t="str"/>
      <x:c r="H772" s="18" t="str">
        <x:v>影を比べるときにそろえること</x:v>
      </x:c>
      <x:c r="I772" s="18" t="str">
        <x:v>同じ棒・同じ場所で、時刻、影の向き、先端の位置、長さを記録する。棒の高さや地面の傾きが違う影を、そのまま太陽の位置の違いとはみなせない。つながり：太陽／影／時刻／方位</x:v>
      </x:c>
      <x:c r="J772" s="18" t="str">
        <x:v>太陽／影／時刻／方位</x:v>
      </x:c>
    </x:row>
    <x:row r="773" ht="62" customHeight="1">
      <x:c r="A773" s="106" t="str">
        <x:v>INQ-006</x:v>
      </x:c>
      <x:c r="B773" s="106" t="str">
        <x:v>探究</x:v>
      </x:c>
      <x:c r="C773" s="106" t="str">
        <x:v>横断</x:v>
      </x:c>
      <x:c r="D773" s="106" t="str">
        <x:v>観察の基礎</x:v>
      </x:c>
      <x:c r="E773" s="106" t="str">
        <x:v>比較</x:v>
      </x:c>
      <x:c r="F773" s="106" t="str">
        <x:v>B</x:v>
      </x:c>
      <x:c r="G773" s="106" t="str"/>
      <x:c r="H773" s="18" t="str">
        <x:v>物と材料を分けて記録する理由</x:v>
      </x:c>
      <x:c r="I773" s="18" t="str">
        <x:v>「スプーン」は物の用途・形、「鉄」や「木」は材料を表す。同じ物でも材料が違い、同じ材料でも多様な物になるため、性質を調べるときは材料名を区別する。つながり：物体／物質／材料／性質</x:v>
      </x:c>
      <x:c r="J773" s="18" t="str">
        <x:v>物体／物質／材料／性質</x:v>
      </x:c>
    </x:row>
    <x:row r="774" ht="62" customHeight="1">
      <x:c r="A774" s="106" t="str">
        <x:v>INQ-007</x:v>
      </x:c>
      <x:c r="B774" s="106" t="str">
        <x:v>探究</x:v>
      </x:c>
      <x:c r="C774" s="106" t="str">
        <x:v>横断</x:v>
      </x:c>
      <x:c r="D774" s="106" t="str">
        <x:v>観察の基礎</x:v>
      </x:c>
      <x:c r="E774" s="106" t="str">
        <x:v>誤解対策</x:v>
      </x:c>
      <x:c r="F774" s="106" t="str">
        <x:v>A</x:v>
      </x:c>
      <x:c r="G774" s="106" t="str"/>
      <x:c r="H774" s="18" t="str">
        <x:v>五感を使う観察の限界</x:v>
      </x:c>
      <x:c r="I774" s="18" t="str">
        <x:v>色・音・手触りなどは手掛かりになるが、未知の物を味見したり直接かいだり、熱い物へ触れたりしてはいけない。安全でない感覚は器具による測定へ置き換える。つながり：観察／測定器具／安全／気体</x:v>
      </x:c>
      <x:c r="J774" s="18" t="str">
        <x:v>観察／測定器具／安全／気体</x:v>
      </x:c>
    </x:row>
    <x:row r="775" ht="62" customHeight="1">
      <x:c r="A775" s="106" t="str">
        <x:v>INQ-008</x:v>
      </x:c>
      <x:c r="B775" s="106" t="str">
        <x:v>探究</x:v>
      </x:c>
      <x:c r="C775" s="106" t="str">
        <x:v>横断</x:v>
      </x:c>
      <x:c r="D775" s="106" t="str">
        <x:v>観察の基礎</x:v>
      </x:c>
      <x:c r="E775" s="106" t="str">
        <x:v>実験</x:v>
      </x:c>
      <x:c r="F775" s="106" t="str">
        <x:v>A</x:v>
      </x:c>
      <x:c r="G775" s="106" t="str"/>
      <x:c r="H775" s="18" t="str">
        <x:v>観察対象の大きさを伝える記録</x:v>
      </x:c>
      <x:c r="I775" s="18" t="str">
        <x:v>図を大きく描いても実物が大きいとは限らないため、実際に測った長さや、基準となる物差し・倍率を添える。図の見た目だけで実物大を判断させない。つながり：観察記録／尺度／倍率／長さ</x:v>
      </x:c>
      <x:c r="J775" s="18" t="str">
        <x:v>観察記録／尺度／倍率／長さ</x:v>
      </x:c>
    </x:row>
    <x:row r="776" ht="62" customHeight="1">
      <x:c r="A776" s="106" t="str">
        <x:v>INQ-009</x:v>
      </x:c>
      <x:c r="B776" s="106" t="str">
        <x:v>探究</x:v>
      </x:c>
      <x:c r="C776" s="106" t="str">
        <x:v>横断</x:v>
      </x:c>
      <x:c r="D776" s="106" t="str">
        <x:v>観察の基礎</x:v>
      </x:c>
      <x:c r="E776" s="106" t="str">
        <x:v>因果</x:v>
      </x:c>
      <x:c r="F776" s="106" t="str">
        <x:v>A</x:v>
      </x:c>
      <x:c r="G776" s="106" t="str"/>
      <x:c r="H776" s="18" t="str">
        <x:v>一回だけでなく続けて観察する理由</x:v>
      </x:c>
      <x:c r="I776" s="18" t="str">
        <x:v>成長、天気、月、影などは時間とともに変わる。一回の姿だけでは変化の順序や周期が分からないため、間隔と条件を決めて記録を重ねる。つながり：継続観察／時間変化／成長／周期</x:v>
      </x:c>
      <x:c r="J776" s="18" t="str">
        <x:v>継続観察／時間変化／成長／周期</x:v>
      </x:c>
    </x:row>
    <x:row r="777" ht="62" customHeight="1">
      <x:c r="A777" s="106" t="str">
        <x:v>INQ-010</x:v>
      </x:c>
      <x:c r="B777" s="106" t="str">
        <x:v>探究</x:v>
      </x:c>
      <x:c r="C777" s="106" t="str">
        <x:v>横断</x:v>
      </x:c>
      <x:c r="D777" s="106" t="str">
        <x:v>観察の基礎</x:v>
      </x:c>
      <x:c r="E777" s="106" t="str">
        <x:v>因果</x:v>
      </x:c>
      <x:c r="F777" s="106" t="str">
        <x:v>A</x:v>
      </x:c>
      <x:c r="G777" s="106" t="str"/>
      <x:c r="H777" s="18" t="str">
        <x:v>生物と周りの環境を一緒に見る理由</x:v>
      </x:c>
      <x:c r="I777" s="18" t="str">
        <x:v>生物の姿だけでなく、光、水、温度、食べ物、すみかも記録すると、生物が環境と関わって生きる様子を考えられる。見つけた場所だけで原因を断定しない。つながり：生物／環境／すみか／生態系</x:v>
      </x:c>
      <x:c r="J777" s="18" t="str">
        <x:v>生物／環境／すみか／生態系</x:v>
      </x:c>
    </x:row>
    <x:row r="778" ht="62" customHeight="1">
      <x:c r="A778" s="106" t="str">
        <x:v>INQ-011</x:v>
      </x:c>
      <x:c r="B778" s="106" t="str">
        <x:v>探究</x:v>
      </x:c>
      <x:c r="C778" s="106" t="str">
        <x:v>横断</x:v>
      </x:c>
      <x:c r="D778" s="106" t="str">
        <x:v>観察の基礎</x:v>
      </x:c>
      <x:c r="E778" s="106" t="str">
        <x:v>比較</x:v>
      </x:c>
      <x:c r="F778" s="106" t="str">
        <x:v>A</x:v>
      </x:c>
      <x:c r="G778" s="106" t="str"/>
      <x:c r="H778" s="18" t="str">
        <x:v>一つの基準で仲間分けする方法</x:v>
      </x:c>
      <x:c r="I778" s="18" t="str">
        <x:v>最初に「脚の数」「花のつくり」など全対象へ同じ基準を当て、当てはまる／当てはまらないで分ける。途中で基準を変えると、分類の意味が曖昧になる。つながり：分類／基準／共通点／相違点</x:v>
      </x:c>
      <x:c r="J778" s="18" t="str">
        <x:v>分類／基準／共通点／相違点</x:v>
      </x:c>
    </x:row>
    <x:row r="779" ht="62" customHeight="1">
      <x:c r="A779" s="106" t="str">
        <x:v>INQ-012</x:v>
      </x:c>
      <x:c r="B779" s="106" t="str">
        <x:v>探究</x:v>
      </x:c>
      <x:c r="C779" s="106" t="str">
        <x:v>横断</x:v>
      </x:c>
      <x:c r="D779" s="106" t="str">
        <x:v>観察の基礎</x:v>
      </x:c>
      <x:c r="E779" s="106" t="str">
        <x:v>因果</x:v>
      </x:c>
      <x:c r="F779" s="106" t="str">
        <x:v>A</x:v>
      </x:c>
      <x:c r="G779" s="106" t="str"/>
      <x:c r="H779" s="18" t="str">
        <x:v>気付きから調べられる問いをつくる</x:v>
      </x:c>
      <x:c r="I779" s="18" t="str">
        <x:v>「不思議だ」で止めず、「何を変えると、何がどう変わるか」の形にする。例として「日なたの方が暖かい」から「日光の当たり方で地面の温度はどう変わるか」と問う。つながり：気付き／問題発見／変数／予想</x:v>
      </x:c>
      <x:c r="J779" s="18" t="str">
        <x:v>気付き／問題発見／変数／予想</x:v>
      </x:c>
    </x:row>
    <x:row r="780" ht="62" customHeight="1">
      <x:c r="A780" s="106" t="str">
        <x:v>INQ-013</x:v>
      </x:c>
      <x:c r="B780" s="106" t="str">
        <x:v>探究</x:v>
      </x:c>
      <x:c r="C780" s="106" t="str">
        <x:v>横断</x:v>
      </x:c>
      <x:c r="D780" s="106" t="str">
        <x:v>科学的探究</x:v>
      </x:c>
      <x:c r="E780" s="106" t="str">
        <x:v>比較</x:v>
      </x:c>
      <x:c r="F780" s="106" t="str">
        <x:v>A</x:v>
      </x:c>
      <x:c r="G780" s="106" t="n">
        <x:v>1</x:v>
      </x:c>
      <x:c r="H780" s="18" t="str">
        <x:v>観察した事実と考えたことの区別</x:v>
      </x:c>
      <x:c r="I780" s="18" t="str">
        <x:v>「液が青になった」は観察事実、「アルカリ性だ」は知識を使った解釈である。記録で両者を分けると、同じ証拠から解釈が妥当か確かめられる。つながり：観察事実／解釈／証拠／結論</x:v>
      </x:c>
      <x:c r="J780" s="18" t="str">
        <x:v>観察事実／解釈／証拠／結論</x:v>
      </x:c>
    </x:row>
    <x:row r="781" ht="62" customHeight="1">
      <x:c r="A781" s="106" t="str">
        <x:v>INQ-014</x:v>
      </x:c>
      <x:c r="B781" s="106" t="str">
        <x:v>探究</x:v>
      </x:c>
      <x:c r="C781" s="106" t="str">
        <x:v>横断</x:v>
      </x:c>
      <x:c r="D781" s="106" t="str">
        <x:v>科学的探究</x:v>
      </x:c>
      <x:c r="E781" s="106" t="str">
        <x:v>用語</x:v>
      </x:c>
      <x:c r="F781" s="106" t="str">
        <x:v>A</x:v>
      </x:c>
      <x:c r="G781" s="106" t="n">
        <x:v>2</x:v>
      </x:c>
      <x:c r="H781" s="18" t="str">
        <x:v>科学で調べやすい問いの条件</x:v>
      </x:c>
      <x:c r="I781" s="18" t="str">
        <x:v>対象と比べる量が明確で、観察・測定・実験・資料によって確かめられる問いである。好みや価値だけを尋ねる問いは、科学データだけでは決められない。つながり：問い／測定可能性／証拠／価値判断</x:v>
      </x:c>
      <x:c r="J781" s="18" t="str">
        <x:v>問い／測定可能性／証拠／価値判断</x:v>
      </x:c>
    </x:row>
    <x:row r="782" ht="62" customHeight="1">
      <x:c r="A782" s="106" t="str">
        <x:v>INQ-015</x:v>
      </x:c>
      <x:c r="B782" s="106" t="str">
        <x:v>探究</x:v>
      </x:c>
      <x:c r="C782" s="106" t="str">
        <x:v>横断</x:v>
      </x:c>
      <x:c r="D782" s="106" t="str">
        <x:v>科学的探究</x:v>
      </x:c>
      <x:c r="E782" s="106" t="str">
        <x:v>比較</x:v>
      </x:c>
      <x:c r="F782" s="106" t="str">
        <x:v>A</x:v>
      </x:c>
      <x:c r="G782" s="106" t="n">
        <x:v>3</x:v>
      </x:c>
      <x:c r="H782" s="18" t="str">
        <x:v>予想と仮説（かせつ）の違い</x:v>
      </x:c>
      <x:c r="I782" s="18" t="str">
        <x:v>予想は結果の見通し、仮説（かせつ）は結果がそうなる仕組みまで含む、確かめ可能な説明である。「温度が上がると思う」に「日光で地面が温められるから」を加えると仮説に近づく。つながり：予想／仮説／根拠／検証</x:v>
      </x:c>
      <x:c r="J782" s="18" t="str">
        <x:v>予想／仮説／根拠／検証</x:v>
      </x:c>
    </x:row>
    <x:row r="783" ht="62" customHeight="1">
      <x:c r="A783" s="106" t="str">
        <x:v>INQ-016</x:v>
      </x:c>
      <x:c r="B783" s="106" t="str">
        <x:v>探究</x:v>
      </x:c>
      <x:c r="C783" s="106" t="str">
        <x:v>横断</x:v>
      </x:c>
      <x:c r="D783" s="106" t="str">
        <x:v>科学的探究</x:v>
      </x:c>
      <x:c r="E783" s="106" t="str">
        <x:v>用語</x:v>
      </x:c>
      <x:c r="F783" s="106" t="str">
        <x:v>A</x:v>
      </x:c>
      <x:c r="G783" s="106" t="str"/>
      <x:c r="H783" s="18" t="str">
        <x:v>根拠のある予想</x:v>
      </x:c>
      <x:c r="I783" s="18" t="str">
        <x:v>生活経験、既習の法則、事前観察など、予想を支える事実を示した予想である。単なる当てずっぽうと区別し、結果が違えば根拠や考えを見直す。つながり：予想／根拠／既習事項／考察</x:v>
      </x:c>
      <x:c r="J783" s="18" t="str">
        <x:v>予想／根拠／既習事項／考察</x:v>
      </x:c>
    </x:row>
    <x:row r="784" ht="62" customHeight="1">
      <x:c r="A784" s="106" t="str">
        <x:v>INQ-017</x:v>
      </x:c>
      <x:c r="B784" s="106" t="str">
        <x:v>探究</x:v>
      </x:c>
      <x:c r="C784" s="106" t="str">
        <x:v>横断</x:v>
      </x:c>
      <x:c r="D784" s="106" t="str">
        <x:v>科学的探究</x:v>
      </x:c>
      <x:c r="E784" s="106" t="str">
        <x:v>因果</x:v>
      </x:c>
      <x:c r="F784" s="106" t="str">
        <x:v>A</x:v>
      </x:c>
      <x:c r="G784" s="106" t="n">
        <x:v>4</x:v>
      </x:c>
      <x:c r="H784" s="18" t="str">
        <x:v>一つの条件だけを変える理由</x:v>
      </x:c>
      <x:c r="I784" s="18" t="str">
        <x:v>結果の違いを、変えた条件の影響として説明しやすくするためである。二つ以上を同時に変えると、どちらが原因か切り分けられない。つながり：変える条件／そろえる条件／公平な実験／因果</x:v>
      </x:c>
      <x:c r="J784" s="18" t="str">
        <x:v>変える条件／そろえる条件／公平な実験／因果</x:v>
      </x:c>
    </x:row>
    <x:row r="785" ht="62" customHeight="1">
      <x:c r="A785" s="106" t="str">
        <x:v>INQ-018</x:v>
      </x:c>
      <x:c r="B785" s="106" t="str">
        <x:v>探究</x:v>
      </x:c>
      <x:c r="C785" s="106" t="str">
        <x:v>横断</x:v>
      </x:c>
      <x:c r="D785" s="106" t="str">
        <x:v>科学的探究</x:v>
      </x:c>
      <x:c r="E785" s="106" t="str">
        <x:v>用語</x:v>
      </x:c>
      <x:c r="F785" s="106" t="str">
        <x:v>A</x:v>
      </x:c>
      <x:c r="G785" s="106" t="n">
        <x:v>5</x:v>
      </x:c>
      <x:c r="H785" s="18" t="str">
        <x:v>実験で意図的に変える量</x:v>
      </x:c>
      <x:c r="I785" s="18" t="str">
        <x:v>原因として働くか調べるため、実験者が段階的に変える量を独立変数（どくりつへんすう）という。横軸に置くことが多いが、時間のように自然に進む量も独立変数として扱う場合がある。つながり：独立変数／横軸／条件制御／従属変数（じゅうぞくへんすう）</x:v>
      </x:c>
      <x:c r="J785" s="18" t="str">
        <x:v>独立変数／横軸／条件制御／従属変数じゅうぞくへんすう&lt;／rt&gt;&lt;／ruby&gt;</x:v>
      </x:c>
    </x:row>
    <x:row r="786" ht="62" customHeight="1">
      <x:c r="A786" s="106" t="str">
        <x:v>INQ-019</x:v>
      </x:c>
      <x:c r="B786" s="106" t="str">
        <x:v>探究</x:v>
      </x:c>
      <x:c r="C786" s="106" t="str">
        <x:v>横断</x:v>
      </x:c>
      <x:c r="D786" s="106" t="str">
        <x:v>科学的探究</x:v>
      </x:c>
      <x:c r="E786" s="106" t="str">
        <x:v>用語</x:v>
      </x:c>
      <x:c r="F786" s="106" t="str">
        <x:v>A</x:v>
      </x:c>
      <x:c r="G786" s="106" t="n">
        <x:v>6</x:v>
      </x:c>
      <x:c r="H786" s="18" t="str">
        <x:v>実験で同じに保つ量</x:v>
      </x:c>
      <x:c r="I786" s="18" t="str">
        <x:v>調べたい条件以外で結果へ影響しそうな量を統制変数といい、各組で同じにする。振り子の長さの影響なら、おもりの重さや振れ幅をそろえる。つながり：統制変数／公平な実験／振り子／独立変数（どくりつへんすう）</x:v>
      </x:c>
      <x:c r="J786" s="18" t="str">
        <x:v>統制変数／公平な実験／振り子／独立変数どくりつへんすう&lt;／rt&gt;&lt;／ruby&gt;</x:v>
      </x:c>
    </x:row>
    <x:row r="787" ht="62" customHeight="1">
      <x:c r="A787" s="106" t="str">
        <x:v>INQ-020</x:v>
      </x:c>
      <x:c r="B787" s="106" t="str">
        <x:v>探究</x:v>
      </x:c>
      <x:c r="C787" s="106" t="str">
        <x:v>横断</x:v>
      </x:c>
      <x:c r="D787" s="106" t="str">
        <x:v>科学的探究</x:v>
      </x:c>
      <x:c r="E787" s="106" t="str">
        <x:v>用語</x:v>
      </x:c>
      <x:c r="F787" s="106" t="str">
        <x:v>A</x:v>
      </x:c>
      <x:c r="G787" s="106" t="n">
        <x:v>7</x:v>
      </x:c>
      <x:c r="H787" s="18" t="str">
        <x:v>実験で結果として測る量</x:v>
      </x:c>
      <x:c r="I787" s="18" t="str">
        <x:v>変えた条件に応じて変化するかを測る量を従属変数（じゅうぞくへんすう）という。通常は縦軸に置き、単位と測定方法を実験前に決める。つながり：従属変数／縦軸／測定／独立変数（どくりつへんすう）</x:v>
      </x:c>
      <x:c r="J787" s="18" t="str">
        <x:v>従属変数／縦軸／測定／独立変数どくりつへんすう&lt;／rt&gt;&lt;／ruby&gt;</x:v>
      </x:c>
    </x:row>
    <x:row r="788" ht="62" customHeight="1">
      <x:c r="A788" s="106" t="str">
        <x:v>INQ-021</x:v>
      </x:c>
      <x:c r="B788" s="106" t="str">
        <x:v>探究</x:v>
      </x:c>
      <x:c r="C788" s="106" t="str">
        <x:v>横断</x:v>
      </x:c>
      <x:c r="D788" s="106" t="str">
        <x:v>科学的探究</x:v>
      </x:c>
      <x:c r="E788" s="106" t="str">
        <x:v>用語</x:v>
      </x:c>
      <x:c r="F788" s="106" t="str">
        <x:v>A</x:v>
      </x:c>
      <x:c r="G788" s="106" t="str"/>
      <x:c r="H788" s="18" t="str">
        <x:v>対照実験（たいしょうじっけん）</x:v>
      </x:c>
      <x:c r="I788" s="18" t="str">
        <x:v>調べる処理をしない、または標準条件にした組を対照とし、処理した組との違いを比べる実験。結果の差が、調べたい処理の効果かどうかを判断しやすくする。つながり：対照／比較／条件制御／発芽</x:v>
      </x:c>
      <x:c r="J788" s="18" t="str">
        <x:v>対照／比較／条件制御／発芽</x:v>
      </x:c>
    </x:row>
    <x:row r="789" ht="62" customHeight="1">
      <x:c r="A789" s="106" t="str">
        <x:v>INQ-022</x:v>
      </x:c>
      <x:c r="B789" s="106" t="str">
        <x:v>探究</x:v>
      </x:c>
      <x:c r="C789" s="106" t="str">
        <x:v>横断</x:v>
      </x:c>
      <x:c r="D789" s="106" t="str">
        <x:v>科学的探究</x:v>
      </x:c>
      <x:c r="E789" s="106" t="str">
        <x:v>実験</x:v>
      </x:c>
      <x:c r="F789" s="106" t="str">
        <x:v>A</x:v>
      </x:c>
      <x:c r="G789" s="106" t="str"/>
      <x:c r="H789" s="18" t="str">
        <x:v>公平な実験になっているかの確認</x:v>
      </x:c>
      <x:c r="I789" s="18" t="str">
        <x:v>変えた条件が一つか、他の条件がそろうか、同じ方法で測るか、十分に繰り返すかを確認する。装置の見た目が同じだけでは公平とは限らない。つながり：条件制御／測定方法／反復／対照</x:v>
      </x:c>
      <x:c r="J789" s="18" t="str">
        <x:v>条件制御／測定方法／反復／対照</x:v>
      </x:c>
    </x:row>
    <x:row r="790" ht="62" customHeight="1">
      <x:c r="A790" s="106" t="str">
        <x:v>INQ-031</x:v>
      </x:c>
      <x:c r="B790" s="106" t="str">
        <x:v>探究</x:v>
      </x:c>
      <x:c r="C790" s="106" t="str">
        <x:v>横断</x:v>
      </x:c>
      <x:c r="D790" s="106" t="str">
        <x:v>測定と誤差</x:v>
      </x:c>
      <x:c r="E790" s="106" t="str">
        <x:v>実験</x:v>
      </x:c>
      <x:c r="F790" s="106" t="str">
        <x:v>A</x:v>
      </x:c>
      <x:c r="G790" s="106" t="n">
        <x:v>8</x:v>
      </x:c>
      <x:c r="H790" s="18" t="str">
        <x:v>測る量に合う器具の選び方</x:v>
      </x:c>
      <x:c r="I790" s="18" t="str">
        <x:v>量の種類、予想される範囲、必要な細かさに合う器具を選ぶ。100 mL程度を正確に量るのに大きなバケツを使うと、目盛が粗く誤差が大きい。つながり：測定範囲／最小目盛／精度／器具</x:v>
      </x:c>
      <x:c r="J790" s="18" t="str">
        <x:v>測定範囲／最小目盛／精度／器具</x:v>
      </x:c>
    </x:row>
    <x:row r="791" ht="62" customHeight="1">
      <x:c r="A791" s="106" t="str">
        <x:v>INQ-032</x:v>
      </x:c>
      <x:c r="B791" s="106" t="str">
        <x:v>探究</x:v>
      </x:c>
      <x:c r="C791" s="106" t="str">
        <x:v>横断</x:v>
      </x:c>
      <x:c r="D791" s="106" t="str">
        <x:v>測定と誤差</x:v>
      </x:c>
      <x:c r="E791" s="106" t="str">
        <x:v>因果</x:v>
      </x:c>
      <x:c r="F791" s="106" t="str">
        <x:v>A</x:v>
      </x:c>
      <x:c r="G791" s="106" t="str"/>
      <x:c r="H791" s="18" t="str">
        <x:v>測定前にゼロを確かめる理由</x:v>
      </x:c>
      <x:c r="I791" s="18" t="str">
        <x:v>何も測っていないときの指示が0でなければ、全測定値が同じ向きにずれる。ゼロ調整できなければ、ずれを記録して補正する。つながり：ゼロ点／系統誤差（けいとうごさ）／補正／測定器具</x:v>
      </x:c>
      <x:c r="J791" s="18" t="str">
        <x:v>ゼロ点／系統誤差けいとうごさ&lt;／rt&gt;&lt;／ruby&gt;／補正／測定器具</x:v>
      </x:c>
    </x:row>
    <x:row r="792" ht="62" customHeight="1">
      <x:c r="A792" s="106" t="str">
        <x:v>INQ-033</x:v>
      </x:c>
      <x:c r="B792" s="106" t="str">
        <x:v>探究</x:v>
      </x:c>
      <x:c r="C792" s="106" t="str">
        <x:v>横断</x:v>
      </x:c>
      <x:c r="D792" s="106" t="str">
        <x:v>測定と誤差</x:v>
      </x:c>
      <x:c r="E792" s="106" t="str">
        <x:v>因果</x:v>
      </x:c>
      <x:c r="F792" s="106" t="str">
        <x:v>A</x:v>
      </x:c>
      <x:c r="G792" s="106" t="str"/>
      <x:c r="H792" s="18" t="str">
        <x:v>測定者を替えて確かめる理由</x:v>
      </x:c>
      <x:c r="I792" s="18" t="str">
        <x:v>同じ対象を同じ手順で別の人も測り、値を比べると、目の位置・判断基準・操作の癖による偏りを見つけられる。値が違えば手順を具体化して再測定する。つながり：測定者／客観性（きゃっかんせい）／操作手順／再測定</x:v>
      </x:c>
      <x:c r="J792" s="18" t="str">
        <x:v>測定者／客観性きゃっかんせい&lt;／rt&gt;&lt;／ruby&gt;／操作手順／再測定</x:v>
      </x:c>
    </x:row>
    <x:row r="793" ht="62" customHeight="1">
      <x:c r="A793" s="106" t="str">
        <x:v>INQ-034</x:v>
      </x:c>
      <x:c r="B793" s="106" t="str">
        <x:v>探究</x:v>
      </x:c>
      <x:c r="C793" s="106" t="str">
        <x:v>横断</x:v>
      </x:c>
      <x:c r="D793" s="106" t="str">
        <x:v>測定と誤差</x:v>
      </x:c>
      <x:c r="E793" s="106" t="str">
        <x:v>実験</x:v>
      </x:c>
      <x:c r="F793" s="106" t="str">
        <x:v>B</x:v>
      </x:c>
      <x:c r="G793" s="106" t="str"/>
      <x:c r="H793" s="18" t="str">
        <x:v>最小目盛より細かい桁の扱い</x:v>
      </x:c>
      <x:c r="I793" s="18" t="str">
        <x:v>目盛の間を合理的に見積もれる器具では、最小目盛のさらに一桁程度を推定して記録する。ただし、見分けられない桁を何桁も付け足してはいけない。つながり：最小目盛／推定値／有効な桁／精度</x:v>
      </x:c>
      <x:c r="J793" s="18" t="str">
        <x:v>最小目盛／推定値／有効な桁／精度</x:v>
      </x:c>
    </x:row>
    <x:row r="794" ht="62" customHeight="1">
      <x:c r="A794" s="106" t="str">
        <x:v>INQ-035</x:v>
      </x:c>
      <x:c r="B794" s="106" t="str">
        <x:v>探究</x:v>
      </x:c>
      <x:c r="C794" s="106" t="str">
        <x:v>横断</x:v>
      </x:c>
      <x:c r="D794" s="106" t="str">
        <x:v>測定と誤差</x:v>
      </x:c>
      <x:c r="E794" s="106" t="str">
        <x:v>用語</x:v>
      </x:c>
      <x:c r="F794" s="106" t="str">
        <x:v>A</x:v>
      </x:c>
      <x:c r="G794" s="106" t="str"/>
      <x:c r="H794" s="18" t="str">
        <x:v>測定値に単位が必要な理由</x:v>
      </x:c>
      <x:c r="I794" s="18" t="str">
        <x:v>数値だけでは何の量・大きさか決まらない。数値と単位を一組で記録し、表の見出しに単位を置く場合は各欄で省略してよい。つながり：物理量／単位／表／測定値</x:v>
      </x:c>
      <x:c r="J794" s="18" t="str">
        <x:v>物理量／単位／表／測定値</x:v>
      </x:c>
    </x:row>
    <x:row r="795" ht="62" customHeight="1">
      <x:c r="A795" s="106" t="str">
        <x:v>INQ-036</x:v>
      </x:c>
      <x:c r="B795" s="106" t="str">
        <x:v>探究</x:v>
      </x:c>
      <x:c r="C795" s="106" t="str">
        <x:v>横断</x:v>
      </x:c>
      <x:c r="D795" s="106" t="str">
        <x:v>測定と誤差</x:v>
      </x:c>
      <x:c r="E795" s="106" t="str">
        <x:v>実験</x:v>
      </x:c>
      <x:c r="F795" s="106" t="str">
        <x:v>A</x:v>
      </x:c>
      <x:c r="G795" s="106" t="n">
        <x:v>9</x:v>
      </x:c>
      <x:c r="H795" s="18" t="str">
        <x:v>複数回をまとめて測る工夫</x:v>
      </x:c>
      <x:c r="I795" s="18" t="str">
        <x:v>振り子10往復など複数回分を一度に測ってから回数で割ると、開始・停止の反応時間が1往復ごとに占める割合を小さくできる。つながり：反復測定／平均／振り子／反応時間</x:v>
      </x:c>
      <x:c r="J795" s="18" t="str">
        <x:v>反復測定／平均／振り子／反応時間</x:v>
      </x:c>
    </x:row>
    <x:row r="796" ht="62" customHeight="1">
      <x:c r="A796" s="106" t="str">
        <x:v>INQ-037</x:v>
      </x:c>
      <x:c r="B796" s="106" t="str">
        <x:v>探究</x:v>
      </x:c>
      <x:c r="C796" s="106" t="str">
        <x:v>横断</x:v>
      </x:c>
      <x:c r="D796" s="106" t="str">
        <x:v>測定と誤差</x:v>
      </x:c>
      <x:c r="E796" s="106" t="str">
        <x:v>誤解対策</x:v>
      </x:c>
      <x:c r="F796" s="106" t="str">
        <x:v>A</x:v>
      </x:c>
      <x:c r="G796" s="106" t="str"/>
      <x:c r="H796" s="18" t="str">
        <x:v>平均だけで結果を判断できない場合</x:v>
      </x:c>
      <x:c r="I796" s="18" t="str">
        <x:v>平均が同じでも、値の散らばりや外れ値が大きく違う場合がある。元の値、範囲、測定回数も見て、結果が安定しているか判断する。つながり：平均／散らばり／外れ値／信頼性</x:v>
      </x:c>
      <x:c r="J796" s="18" t="str">
        <x:v>平均／散らばり／外れ値／信頼性</x:v>
      </x:c>
    </x:row>
    <x:row r="797" ht="62" customHeight="1">
      <x:c r="A797" s="106" t="str">
        <x:v>INQ-038</x:v>
      </x:c>
      <x:c r="B797" s="106" t="str">
        <x:v>探究</x:v>
      </x:c>
      <x:c r="C797" s="106" t="str">
        <x:v>横断</x:v>
      </x:c>
      <x:c r="D797" s="106" t="str">
        <x:v>測定と誤差</x:v>
      </x:c>
      <x:c r="E797" s="106" t="str">
        <x:v>計算</x:v>
      </x:c>
      <x:c r="F797" s="106" t="str">
        <x:v>B</x:v>
      </x:c>
      <x:c r="G797" s="106" t="str"/>
      <x:c r="H797" s="18" t="str">
        <x:v>最大値と最小値から分かること</x:v>
      </x:c>
      <x:c r="I797" s="18" t="str">
        <x:v>最大値−最小値で求める範囲は、測定値の散らばりの大まかな大きさを示す。平均に近い値が多いかまでは分からないため、元データも確認する。つながり：範囲／最大値／最小値／散らばり</x:v>
      </x:c>
      <x:c r="J797" s="18" t="str">
        <x:v>範囲／最大値／最小値／散らばり</x:v>
      </x:c>
    </x:row>
    <x:row r="798" ht="62" customHeight="1">
      <x:c r="A798" s="106" t="str">
        <x:v>INQ-043</x:v>
      </x:c>
      <x:c r="B798" s="106" t="str">
        <x:v>探究</x:v>
      </x:c>
      <x:c r="C798" s="106" t="str">
        <x:v>横断</x:v>
      </x:c>
      <x:c r="D798" s="106" t="str">
        <x:v>表とグラフ</x:v>
      </x:c>
      <x:c r="E798" s="106" t="str">
        <x:v>用語</x:v>
      </x:c>
      <x:c r="F798" s="106" t="str">
        <x:v>A</x:v>
      </x:c>
      <x:c r="G798" s="106" t="n">
        <x:v>12</x:v>
      </x:c>
      <x:c r="H798" s="18" t="str">
        <x:v>表の見出しに書く二つの情報</x:v>
      </x:c>
      <x:c r="I798" s="18" t="str">
        <x:v>何を測った列かを示す量名と、その値の単位を書く。例は「時間（s）」であり、数値欄へ単位を毎回書かなくても意味が一意になる。つながり：表／量名／単位／測定値</x:v>
      </x:c>
      <x:c r="J798" s="18" t="str">
        <x:v>表／量名／単位／測定値</x:v>
      </x:c>
    </x:row>
    <x:row r="799" ht="62" customHeight="1">
      <x:c r="A799" s="106" t="str">
        <x:v>INQ-044</x:v>
      </x:c>
      <x:c r="B799" s="106" t="str">
        <x:v>探究</x:v>
      </x:c>
      <x:c r="C799" s="106" t="str">
        <x:v>横断</x:v>
      </x:c>
      <x:c r="D799" s="106" t="str">
        <x:v>表とグラフ</x:v>
      </x:c>
      <x:c r="E799" s="106" t="str">
        <x:v>読図</x:v>
      </x:c>
      <x:c r="F799" s="106" t="str">
        <x:v>A</x:v>
      </x:c>
      <x:c r="G799" s="106" t="n">
        <x:v>13</x:v>
      </x:c>
      <x:c r="H799" s="18" t="str">
        <x:v>横軸に置く量の決め方</x:v>
      </x:c>
      <x:c r="I799" s="18" t="str">
        <x:v>実験者が変えた量や、時間のように変化の基準となる量を横軸に置く。軸名と単位を添え、条件の順序が意味をもつよう並べる。つながり：横軸／独立変数（どくりつへんすう）／時間／グラフ</x:v>
      </x:c>
      <x:c r="J799" s="18" t="str">
        <x:v>横軸／独立変数どくりつへんすう&lt;／rt&gt;&lt;／ruby&gt;／時間／グラフ</x:v>
      </x:c>
    </x:row>
    <x:row r="800" ht="62" customHeight="1">
      <x:c r="A800" s="106" t="str">
        <x:v>INQ-045</x:v>
      </x:c>
      <x:c r="B800" s="106" t="str">
        <x:v>探究</x:v>
      </x:c>
      <x:c r="C800" s="106" t="str">
        <x:v>横断</x:v>
      </x:c>
      <x:c r="D800" s="106" t="str">
        <x:v>表とグラフ</x:v>
      </x:c>
      <x:c r="E800" s="106" t="str">
        <x:v>読図</x:v>
      </x:c>
      <x:c r="F800" s="106" t="str">
        <x:v>A</x:v>
      </x:c>
      <x:c r="G800" s="106" t="n">
        <x:v>14</x:v>
      </x:c>
      <x:c r="H800" s="18" t="str">
        <x:v>縦軸に置く量の決め方</x:v>
      </x:c>
      <x:c r="I800" s="18" t="str">
        <x:v>横軸の条件に応じて測った結果を縦軸に置く。軸名・単位・測定範囲を明示すると、何の変化か読み取れる。つながり：縦軸／従属変数（じゅうぞくへんすう）／測定結果／グラフ</x:v>
      </x:c>
      <x:c r="J800" s="18" t="str">
        <x:v>縦軸／従属変数じゅうぞくへんすう&lt;／rt&gt;&lt;／ruby&gt;／測定結果／グラフ</x:v>
      </x:c>
    </x:row>
    <x:row r="801" ht="62" customHeight="1">
      <x:c r="A801" s="106" t="str">
        <x:v>INQ-046</x:v>
      </x:c>
      <x:c r="B801" s="106" t="str">
        <x:v>探究</x:v>
      </x:c>
      <x:c r="C801" s="106" t="str">
        <x:v>横断</x:v>
      </x:c>
      <x:c r="D801" s="106" t="str">
        <x:v>表とグラフ</x:v>
      </x:c>
      <x:c r="E801" s="106" t="str">
        <x:v>読図</x:v>
      </x:c>
      <x:c r="F801" s="106" t="str">
        <x:v>A</x:v>
      </x:c>
      <x:c r="G801" s="106" t="str"/>
      <x:c r="H801" s="18" t="str">
        <x:v>データに合う目盛の取り方</x:v>
      </x:c>
      <x:c r="I801" s="18" t="str">
        <x:v>最大値・最小値と用紙の大きさを見て、同じ間隔が同じ量を表す目盛にする。2、5、10の倍数など読みやすい刻みを選び、点が狭い範囲へ固まらないようにする。つながり：目盛／軸／測定範囲／作図</x:v>
      </x:c>
      <x:c r="J801" s="18" t="str">
        <x:v>目盛／軸／測定範囲／作図</x:v>
      </x:c>
    </x:row>
    <x:row r="802" ht="62" customHeight="1">
      <x:c r="A802" s="106" t="str">
        <x:v>INQ-048</x:v>
      </x:c>
      <x:c r="B802" s="106" t="str">
        <x:v>探究</x:v>
      </x:c>
      <x:c r="C802" s="106" t="str">
        <x:v>横断</x:v>
      </x:c>
      <x:c r="D802" s="106" t="str">
        <x:v>表とグラフ</x:v>
      </x:c>
      <x:c r="E802" s="106" t="str">
        <x:v>読図</x:v>
      </x:c>
      <x:c r="F802" s="106" t="str">
        <x:v>B</x:v>
      </x:c>
      <x:c r="G802" s="106" t="str"/>
      <x:c r="H802" s="18" t="str">
        <x:v>測定点を正確に打つ手順</x:v>
      </x:c>
      <x:c r="I802" s="18" t="str">
        <x:v>横軸の条件から縦へ、縦軸の測定値から横へたどり、交点へ小さく明確な点を打つ。点の中心が値を表し、大きな丸で位置を曖昧にしない。つながり：座標／測定点／横軸／縦軸</x:v>
      </x:c>
      <x:c r="J802" s="18" t="str">
        <x:v>座標／測定点／横軸／縦軸</x:v>
      </x:c>
    </x:row>
    <x:row r="803" ht="62" customHeight="1">
      <x:c r="A803" s="106" t="str">
        <x:v>INQ-050</x:v>
      </x:c>
      <x:c r="B803" s="106" t="str">
        <x:v>探究</x:v>
      </x:c>
      <x:c r="C803" s="106" t="str">
        <x:v>横断</x:v>
      </x:c>
      <x:c r="D803" s="106" t="str">
        <x:v>表とグラフ</x:v>
      </x:c>
      <x:c r="E803" s="106" t="str">
        <x:v>因果</x:v>
      </x:c>
      <x:c r="F803" s="106" t="str">
        <x:v>A</x:v>
      </x:c>
      <x:c r="G803" s="106" t="str"/>
      <x:c r="H803" s="18" t="str">
        <x:v>分類名の間を線で結べない理由</x:v>
      </x:c>
      <x:c r="I803" s="18" t="str">
        <x:v>「昆虫・魚・鳥」のような分類名の間には、時間や温度のような連続した途中の値がない。各分類の量は独立した棒などで比べ、存在しない中間値を線で表さない。つながり：離散データ／棒グラフ／分類／連続量</x:v>
      </x:c>
      <x:c r="J803" s="18" t="str">
        <x:v>離散データ／棒グラフ／分類／連続量</x:v>
      </x:c>
    </x:row>
    <x:row r="804" ht="62" customHeight="1">
      <x:c r="A804" s="106" t="str">
        <x:v>INQ-059</x:v>
      </x:c>
      <x:c r="B804" s="106" t="str">
        <x:v>探究</x:v>
      </x:c>
      <x:c r="C804" s="106" t="str">
        <x:v>横断</x:v>
      </x:c>
      <x:c r="D804" s="106" t="str">
        <x:v>比例・割合・単位</x:v>
      </x:c>
      <x:c r="E804" s="106" t="str">
        <x:v>用語</x:v>
      </x:c>
      <x:c r="F804" s="106" t="str">
        <x:v>A</x:v>
      </x:c>
      <x:c r="G804" s="106" t="str"/>
      <x:c r="H804" s="18" t="str">
        <x:v>接頭語が表す十の倍数</x:v>
      </x:c>
      <x:c r="I804" s="18" t="str">
        <x:v>k（キロ）は1000倍、c（センチ）は100分の1、m（ミリ）は1000分の1を表す。ただしmは単独ならメートル、接頭語ならミリなので位置で区別する。つながり：接頭語／キロ／センチ／ミリ</x:v>
      </x:c>
      <x:c r="J804" s="18" t="str">
        <x:v>接頭語／キロ／センチ／ミリ</x:v>
      </x:c>
    </x:row>
    <x:row r="805" ht="62" customHeight="1">
      <x:c r="A805" s="106" t="str">
        <x:v>INQ-060</x:v>
      </x:c>
      <x:c r="B805" s="106" t="str">
        <x:v>探究</x:v>
      </x:c>
      <x:c r="C805" s="106" t="str">
        <x:v>横断</x:v>
      </x:c>
      <x:c r="D805" s="106" t="str">
        <x:v>比例・割合・単位</x:v>
      </x:c>
      <x:c r="E805" s="106" t="str">
        <x:v>計算</x:v>
      </x:c>
      <x:c r="F805" s="106" t="str">
        <x:v>A</x:v>
      </x:c>
      <x:c r="G805" s="106" t="str"/>
      <x:c r="H805" s="18" t="str">
        <x:v>長さの単位を変える倍率</x:v>
      </x:c>
      <x:c r="I805" s="18" t="str">
        <x:v>1 m=100 cm=1000 mm。大きい単位から小さい単位へ直すと数値は大きくなり、逆では小さくなる。単位を書いて向きを確かめる。つながり：メートル／センチメートル／ミリメートル／単位換算</x:v>
      </x:c>
      <x:c r="J805" s="18" t="str">
        <x:v>メートル／センチメートル／ミリメートル／単位換算</x:v>
      </x:c>
    </x:row>
    <x:row r="806" ht="62" customHeight="1">
      <x:c r="A806" s="106" t="str">
        <x:v>INQ-063</x:v>
      </x:c>
      <x:c r="B806" s="106" t="str">
        <x:v>探究</x:v>
      </x:c>
      <x:c r="C806" s="106" t="str">
        <x:v>横断</x:v>
      </x:c>
      <x:c r="D806" s="106" t="str">
        <x:v>比例・割合・単位</x:v>
      </x:c>
      <x:c r="E806" s="106" t="str">
        <x:v>計算</x:v>
      </x:c>
      <x:c r="F806" s="106" t="str">
        <x:v>A</x:v>
      </x:c>
      <x:c r="G806" s="106" t="str"/>
      <x:c r="H806" s="18" t="str">
        <x:v>立方センチメートルとミリリットル</x:v>
      </x:c>
      <x:c r="I806" s="18" t="str">
        <x:v>1 cm³=1 mLである。また1000 mL=1 Lなので、1000 cm³=1 L。体積を密度や水溶液の計算へ使うとき単位をそろえる。つながり：体積／ミリリットル／リットル／密度</x:v>
      </x:c>
      <x:c r="J806" s="18" t="str">
        <x:v>体積／ミリリットル／リットル／密度</x:v>
      </x:c>
    </x:row>
    <x:row r="807" ht="62" customHeight="1">
      <x:c r="A807" s="106" t="str">
        <x:v>INQ-064</x:v>
      </x:c>
      <x:c r="B807" s="106" t="str">
        <x:v>探究</x:v>
      </x:c>
      <x:c r="C807" s="106" t="str">
        <x:v>横断</x:v>
      </x:c>
      <x:c r="D807" s="106" t="str">
        <x:v>比例・割合・単位</x:v>
      </x:c>
      <x:c r="E807" s="106" t="str">
        <x:v>計算</x:v>
      </x:c>
      <x:c r="F807" s="106" t="str">
        <x:v>A</x:v>
      </x:c>
      <x:c r="G807" s="106" t="str"/>
      <x:c r="H807" s="18" t="str">
        <x:v>グラムとキログラムの換算</x:v>
      </x:c>
      <x:c r="I807" s="18" t="str">
        <x:v>1 kg=1000 g。kgからgへは1000倍、gからkgへは1000で割る。重さの単位Nへは単純換算できず、質量と重さを区別する。つながり：質量／グラム／キログラム／重さ</x:v>
      </x:c>
      <x:c r="J807" s="18" t="str">
        <x:v>質量／グラム／キログラム／重さ</x:v>
      </x:c>
    </x:row>
    <x:row r="808" ht="62" customHeight="1">
      <x:c r="A808" s="106" t="str">
        <x:v>INQ-065</x:v>
      </x:c>
      <x:c r="B808" s="106" t="str">
        <x:v>探究</x:v>
      </x:c>
      <x:c r="C808" s="106" t="str">
        <x:v>横断</x:v>
      </x:c>
      <x:c r="D808" s="106" t="str">
        <x:v>比例・割合・単位</x:v>
      </x:c>
      <x:c r="E808" s="106" t="str">
        <x:v>計算</x:v>
      </x:c>
      <x:c r="F808" s="106" t="str">
        <x:v>A</x:v>
      </x:c>
      <x:c r="G808" s="106" t="str"/>
      <x:c r="H808" s="18" t="str">
        <x:v>秒・分・時をそろえる手順</x:v>
      </x:c>
      <x:c r="I808" s="18" t="str">
        <x:v>1 min=60 s、1 h=60 min=3600 s。式へ代入する前に求める単位へ統一し、十進法のように100で換算しない。つながり：時間／秒／分／時</x:v>
      </x:c>
      <x:c r="J808" s="18" t="str">
        <x:v>時間／秒／分／時</x:v>
      </x:c>
    </x:row>
    <x:row r="809" ht="62" customHeight="1">
      <x:c r="A809" s="106" t="str">
        <x:v>INQ-067</x:v>
      </x:c>
      <x:c r="B809" s="106" t="str">
        <x:v>探究</x:v>
      </x:c>
      <x:c r="C809" s="106" t="str">
        <x:v>横断</x:v>
      </x:c>
      <x:c r="D809" s="106" t="str">
        <x:v>比例・割合・単位</x:v>
      </x:c>
      <x:c r="E809" s="106" t="str">
        <x:v>計算</x:v>
      </x:c>
      <x:c r="F809" s="106" t="str">
        <x:v>A</x:v>
      </x:c>
      <x:c r="G809" s="106" t="str"/>
      <x:c r="H809" s="18" t="str">
        <x:v>割合の基準となる量</x:v>
      </x:c>
      <x:c r="I809" s="18" t="str">
        <x:v>割合=比べる量÷もとにする量である。「何に対して何倍・何％か」を先に言葉で決め、分母と分子を逆にしない。つながり：割合／百分率／比／濃度</x:v>
      </x:c>
      <x:c r="J809" s="18" t="str">
        <x:v>割合／百分率／比／濃度</x:v>
      </x:c>
    </x:row>
    <x:row r="810" ht="62" customHeight="1">
      <x:c r="A810" s="106" t="str">
        <x:v>INQ-068</x:v>
      </x:c>
      <x:c r="B810" s="106" t="str">
        <x:v>探究</x:v>
      </x:c>
      <x:c r="C810" s="106" t="str">
        <x:v>横断</x:v>
      </x:c>
      <x:c r="D810" s="106" t="str">
        <x:v>比例・割合・単位</x:v>
      </x:c>
      <x:c r="E810" s="106" t="str">
        <x:v>計算</x:v>
      </x:c>
      <x:c r="F810" s="106" t="str">
        <x:v>A</x:v>
      </x:c>
      <x:c r="G810" s="106" t="str"/>
      <x:c r="H810" s="18" t="str">
        <x:v>百分率を小数へ直す方法</x:v>
      </x:c>
      <x:c r="I810" s="18" t="str">
        <x:v>％は100分のいくつかを表すため、数値を100で割る。25％=0.25であり、式の最後に％で答えるなら小数を100倍する。つながり：百分率／小数／割合／質量パーセント濃度</x:v>
      </x:c>
      <x:c r="J810" s="18" t="str">
        <x:v>百分率／小数／割合／質量パーセント濃度</x:v>
      </x:c>
    </x:row>
    <x:row r="811" ht="62" customHeight="1">
      <x:c r="A811" s="106" t="str">
        <x:v>INQ-073</x:v>
      </x:c>
      <x:c r="B811" s="106" t="str">
        <x:v>探究</x:v>
      </x:c>
      <x:c r="C811" s="106" t="str">
        <x:v>横断</x:v>
      </x:c>
      <x:c r="D811" s="106" t="str">
        <x:v>実験器具と安全</x:v>
      </x:c>
      <x:c r="E811" s="106" t="str">
        <x:v>実験</x:v>
      </x:c>
      <x:c r="F811" s="106" t="str">
        <x:v>A</x:v>
      </x:c>
      <x:c r="G811" s="106" t="str"/>
      <x:c r="H811" s="18" t="str">
        <x:v>保護眼鏡を外してよい時点</x:v>
      </x:c>
      <x:c r="I811" s="18" t="str">
        <x:v>加熱・反応・洗浄が終わり、飛散や破損の危険物が片付くまで着用する。自分が操作していなくても、近くで実験が続く間は外さない。つながり：保護眼鏡／薬品／加熱／飛散</x:v>
      </x:c>
      <x:c r="J811" s="18" t="str">
        <x:v>保護眼鏡／薬品／加熱／飛散</x:v>
      </x:c>
    </x:row>
    <x:row r="812" ht="62" customHeight="1">
      <x:c r="A812" s="106" t="str">
        <x:v>INQ-074</x:v>
      </x:c>
      <x:c r="B812" s="106" t="str">
        <x:v>探究</x:v>
      </x:c>
      <x:c r="C812" s="106" t="str">
        <x:v>横断</x:v>
      </x:c>
      <x:c r="D812" s="106" t="str">
        <x:v>実験器具と安全</x:v>
      </x:c>
      <x:c r="E812" s="106" t="str">
        <x:v>実験</x:v>
      </x:c>
      <x:c r="F812" s="106" t="str">
        <x:v>A</x:v>
      </x:c>
      <x:c r="G812" s="106" t="str"/>
      <x:c r="H812" s="18" t="str">
        <x:v>ガラス器具を使う前の点検</x:v>
      </x:c>
      <x:c r="I812" s="18" t="str">
        <x:v>ひび、欠け、汚れを明るい所で確認する。傷のあるガラスは加熱や力で割れやすく、割れた物は素手で拾わず指示された道具で処理する。つながり：ガラス器具／破損／加熱／保護眼鏡</x:v>
      </x:c>
      <x:c r="J812" s="18" t="str">
        <x:v>ガラス器具／破損／加熱／保護眼鏡</x:v>
      </x:c>
    </x:row>
    <x:row r="813" ht="62" customHeight="1">
      <x:c r="A813" s="106" t="str">
        <x:v>INQ-075</x:v>
      </x:c>
      <x:c r="B813" s="106" t="str">
        <x:v>探究</x:v>
      </x:c>
      <x:c r="C813" s="106" t="str">
        <x:v>横断</x:v>
      </x:c>
      <x:c r="D813" s="106" t="str">
        <x:v>実験器具と安全</x:v>
      </x:c>
      <x:c r="E813" s="106" t="str">
        <x:v>因果</x:v>
      </x:c>
      <x:c r="F813" s="106" t="str">
        <x:v>A</x:v>
      </x:c>
      <x:c r="G813" s="106" t="str"/>
      <x:c r="H813" s="18" t="str">
        <x:v>試験管の口を人へ向けない理由</x:v>
      </x:c>
      <x:c r="I813" s="18" t="str">
        <x:v>加熱や反応で液体・固体が急に噴き出すことがあるため、自分にも他人にも向けない。試験管を固定せずのぞき込むのも危険である。つながり：試験管／加熱／突沸／保護眼鏡</x:v>
      </x:c>
      <x:c r="J813" s="18" t="str">
        <x:v>試験管／加熱／突沸／保護眼鏡</x:v>
      </x:c>
    </x:row>
    <x:row r="814" ht="62" customHeight="1">
      <x:c r="A814" s="106" t="str">
        <x:v>INQ-078</x:v>
      </x:c>
      <x:c r="B814" s="106" t="str">
        <x:v>探究</x:v>
      </x:c>
      <x:c r="C814" s="106" t="str">
        <x:v>横断</x:v>
      </x:c>
      <x:c r="D814" s="106" t="str">
        <x:v>実験器具と安全</x:v>
      </x:c>
      <x:c r="E814" s="106" t="str">
        <x:v>実験</x:v>
      </x:c>
      <x:c r="F814" s="106" t="str">
        <x:v>A</x:v>
      </x:c>
      <x:c r="G814" s="106" t="str"/>
      <x:c r="H814" s="18" t="str">
        <x:v>薬品が目や皮膚に付いた直後</x:v>
      </x:c>
      <x:c r="I814" s="18" t="str">
        <x:v>こすらず、すぐ多量の水で十分に洗い、教師へ報告する。何の薬品かを伝え、自己判断で別の薬品を付けて中和（ちゅうわ）しない。つながり：薬品／洗浄／報告／保護眼鏡</x:v>
      </x:c>
      <x:c r="J814" s="18" t="str">
        <x:v>薬品／洗浄／報告／保護眼鏡</x:v>
      </x:c>
    </x:row>
    <x:row r="815" ht="62" customHeight="1">
      <x:c r="A815" s="106" t="str">
        <x:v>INQ-081</x:v>
      </x:c>
      <x:c r="B815" s="106" t="str">
        <x:v>探究</x:v>
      </x:c>
      <x:c r="C815" s="106" t="str">
        <x:v>横断</x:v>
      </x:c>
      <x:c r="D815" s="106" t="str">
        <x:v>実験器具と安全</x:v>
      </x:c>
      <x:c r="E815" s="106" t="str">
        <x:v>因果</x:v>
      </x:c>
      <x:c r="F815" s="106" t="str">
        <x:v>A</x:v>
      </x:c>
      <x:c r="G815" s="106" t="str"/>
      <x:c r="H815" s="18" t="str">
        <x:v>実験後の薬品を元のびんへ戻さない理由</x:v>
      </x:c>
      <x:c r="I815" s="18" t="str">
        <x:v>使用中に混ざった別物質で元の薬品全体を汚染し、予期しない反応を起こす可能性がある。余りは指定された回収容器へ入れる。つながり：薬品／汚染／廃液／化学反応</x:v>
      </x:c>
      <x:c r="J815" s="18" t="str">
        <x:v>薬品／汚染／廃液／化学反応</x:v>
      </x:c>
    </x:row>
    <x:row r="816" ht="62" customHeight="1">
      <x:c r="A816" s="106" t="str">
        <x:v>INQ-082</x:v>
      </x:c>
      <x:c r="B816" s="106" t="str">
        <x:v>探究</x:v>
      </x:c>
      <x:c r="C816" s="106" t="str">
        <x:v>横断</x:v>
      </x:c>
      <x:c r="D816" s="106" t="str">
        <x:v>実験器具と安全</x:v>
      </x:c>
      <x:c r="E816" s="106" t="str">
        <x:v>因果</x:v>
      </x:c>
      <x:c r="F816" s="106" t="str">
        <x:v>A</x:v>
      </x:c>
      <x:c r="G816" s="106" t="str"/>
      <x:c r="H816" s="18" t="str">
        <x:v>廃液を勝手に流してはいけない理由</x:v>
      </x:c>
      <x:c r="I816" s="18" t="str">
        <x:v>有害物質、重金属イオン、強い酸・アルカリなどは環境や配管へ影響し、混合で危険な反応も起こりうる。種類ごとに指定容器へ分別する。つながり：廃液／環境保全／イオン／中和（ちゅうわ）</x:v>
      </x:c>
      <x:c r="J816" s="18" t="str">
        <x:v>廃液／環境保全／イオン／中和ちゅうわ&lt;／rt&gt;&lt;／ruby&gt;</x:v>
      </x:c>
    </x:row>
    <x:row r="817" ht="62" customHeight="1">
      <x:c r="A817" s="106" t="str">
        <x:v>INQ-083</x:v>
      </x:c>
      <x:c r="B817" s="106" t="str">
        <x:v>探究</x:v>
      </x:c>
      <x:c r="C817" s="106" t="str">
        <x:v>横断</x:v>
      </x:c>
      <x:c r="D817" s="106" t="str">
        <x:v>実験器具と安全</x:v>
      </x:c>
      <x:c r="E817" s="106" t="str">
        <x:v>因果</x:v>
      </x:c>
      <x:c r="F817" s="106" t="str">
        <x:v>A</x:v>
      </x:c>
      <x:c r="G817" s="106" t="str"/>
      <x:c r="H817" s="18" t="str">
        <x:v>回路で電源を最後につなぐ理由</x:v>
      </x:c>
      <x:c r="I817" s="18" t="str">
        <x:v>配線を直している途中の誤接続や短絡、不要な長時間通電を避けるためである。回路図と接続を確認してから電源をつなぎ、変更前には再び外す。つながり：回路／電源／短絡／配線確認</x:v>
      </x:c>
      <x:c r="J817" s="18" t="str">
        <x:v>回路／電源／短絡／配線確認</x:v>
      </x:c>
    </x:row>
    <x:row r="818" ht="62" customHeight="1">
      <x:c r="A818" s="106" t="str">
        <x:v>INQ-085</x:v>
      </x:c>
      <x:c r="B818" s="106" t="str">
        <x:v>探究</x:v>
      </x:c>
      <x:c r="C818" s="106" t="str">
        <x:v>横断</x:v>
      </x:c>
      <x:c r="D818" s="106" t="str">
        <x:v>実験器具と安全</x:v>
      </x:c>
      <x:c r="E818" s="106" t="str">
        <x:v>実験</x:v>
      </x:c>
      <x:c r="F818" s="106" t="str">
        <x:v>A</x:v>
      </x:c>
      <x:c r="G818" s="106" t="str"/>
      <x:c r="H818" s="18" t="str">
        <x:v>野外観察の服装と危険回避</x:v>
      </x:c>
      <x:c r="I818" s="18" t="str">
        <x:v>長袖・長ズボン・帽子・歩きやすい靴を基本とし、対象に応じて手袋を使う。未知の生物や物質へ触れたり味見したりせず、崖・道路・水辺から離れ、移動時は班や教師へ伝える。つながり：野外観察／保護具／危険生物／安全行動</x:v>
      </x:c>
      <x:c r="J818" s="18" t="str">
        <x:v>野外観察／保護具／危険生物／安全行動</x:v>
      </x:c>
    </x:row>
    <x:row r="819" ht="62" customHeight="1">
      <x:c r="A819" s="106" t="str">
        <x:v>INQ-086</x:v>
      </x:c>
      <x:c r="B819" s="106" t="str">
        <x:v>探究</x:v>
      </x:c>
      <x:c r="C819" s="106" t="str">
        <x:v>横断</x:v>
      </x:c>
      <x:c r="D819" s="106" t="str">
        <x:v>実験器具と安全</x:v>
      </x:c>
      <x:c r="E819" s="106" t="str">
        <x:v>実験</x:v>
      </x:c>
      <x:c r="F819" s="106" t="str">
        <x:v>A</x:v>
      </x:c>
      <x:c r="G819" s="106" t="str"/>
      <x:c r="H819" s="18" t="str">
        <x:v>野外観察を中止する判断</x:v>
      </x:c>
      <x:c r="I819" s="18" t="str">
        <x:v>雷、急な増水、強風、噴火情報、崖の落石などの危険があれば、観察の完遂より退避を優先する。事前に天気・避難経路・連絡方法を確認する。つながり：野外観察／自然災害／避難／気象情報</x:v>
      </x:c>
      <x:c r="J819" s="18" t="str">
        <x:v>野外観察／自然災害／避難／気象情報</x:v>
      </x:c>
    </x:row>
    <x:row r="820" ht="62" customHeight="1">
      <x:c r="A820" s="106" t="str">
        <x:v>INQ-097</x:v>
      </x:c>
      <x:c r="B820" s="106" t="str">
        <x:v>探究</x:v>
      </x:c>
      <x:c r="C820" s="106" t="str">
        <x:v>横断</x:v>
      </x:c>
      <x:c r="D820" s="106" t="str">
        <x:v>領域横断</x:v>
      </x:c>
      <x:c r="E820" s="106" t="str">
        <x:v>因果</x:v>
      </x:c>
      <x:c r="F820" s="106" t="str">
        <x:v>A</x:v>
      </x:c>
      <x:c r="G820" s="106" t="str"/>
      <x:c r="H820" s="18" t="str">
        <x:v>太陽の光が食物網を動かすまで</x:v>
      </x:c>
      <x:c r="I820" s="18" t="str">
        <x:v>植物が光合成で光エネルギーを有機物の化学エネルギーへ変え、その有機物が食べる関係を通じて生物へ渡る。各段階で呼吸により一部が熱として周囲へ移る。つながり：太陽光／光合成／食物網／呼吸</x:v>
      </x:c>
      <x:c r="J820" s="18" t="str">
        <x:v>太陽光／光合成／食物網／呼吸</x:v>
      </x:c>
    </x:row>
    <x:row r="821" ht="62" customHeight="1">
      <x:c r="A821" s="106" t="str">
        <x:v>INQ-098</x:v>
      </x:c>
      <x:c r="B821" s="106" t="str">
        <x:v>探究</x:v>
      </x:c>
      <x:c r="C821" s="106" t="str">
        <x:v>横断</x:v>
      </x:c>
      <x:c r="D821" s="106" t="str">
        <x:v>領域横断</x:v>
      </x:c>
      <x:c r="E821" s="106" t="str">
        <x:v>比較</x:v>
      </x:c>
      <x:c r="F821" s="106" t="str">
        <x:v>A</x:v>
      </x:c>
      <x:c r="G821" s="106" t="str"/>
      <x:c r="H821" s="18" t="str">
        <x:v>酸素と二酸化（さんか）炭素を結ぶ三つの働き</x:v>
      </x:c>
      <x:c r="I821" s="18" t="str">
        <x:v>光合成は二酸化（さんか）炭素を取り入れ酸素を出す一方、呼吸と燃焼は酸素を使い二酸化炭素を生じる。物質は循環するが、各働きの速さは環境や活動量で変わる。つながり：光合成／呼吸／燃焼／炭素循環</x:v>
      </x:c>
      <x:c r="J821" s="18" t="str">
        <x:v>光合成／呼吸／燃焼／炭素循環</x:v>
      </x:c>
    </x:row>
    <x:row r="822" ht="62" customHeight="1">
      <x:c r="A822" s="106" t="str">
        <x:v>INQ-099</x:v>
      </x:c>
      <x:c r="B822" s="106" t="str">
        <x:v>探究</x:v>
      </x:c>
      <x:c r="C822" s="106" t="str">
        <x:v>横断</x:v>
      </x:c>
      <x:c r="D822" s="106" t="str">
        <x:v>領域横断</x:v>
      </x:c>
      <x:c r="E822" s="106" t="str">
        <x:v>因果</x:v>
      </x:c>
      <x:c r="F822" s="106" t="str">
        <x:v>A</x:v>
      </x:c>
      <x:c r="G822" s="106" t="str"/>
      <x:c r="H822" s="18" t="str">
        <x:v>太陽のエネルギーが水循環を動かすまで</x:v>
      </x:c>
      <x:c r="I822" s="18" t="str">
        <x:v>太陽のエネルギーで海・地面の水が蒸発し、植物からも蒸散（じょうさん）する。水蒸気は大気中を移動して凝結（ぎょうけつ）・降水し、高低差による流れで川・地下水・海へ戻る。つながり：太陽エネルギー／蒸発／蒸散／水の循環</x:v>
      </x:c>
      <x:c r="J822" s="18" t="str">
        <x:v>太陽エネルギー／蒸発／蒸散／水の循環</x:v>
      </x:c>
    </x:row>
    <x:row r="823" ht="62" customHeight="1">
      <x:c r="A823" s="106" t="str">
        <x:v>INQ-100</x:v>
      </x:c>
      <x:c r="B823" s="106" t="str">
        <x:v>探究</x:v>
      </x:c>
      <x:c r="C823" s="106" t="str">
        <x:v>横断</x:v>
      </x:c>
      <x:c r="D823" s="106" t="str">
        <x:v>領域横断</x:v>
      </x:c>
      <x:c r="E823" s="106" t="str">
        <x:v>因果</x:v>
      </x:c>
      <x:c r="F823" s="106" t="str">
        <x:v>A</x:v>
      </x:c>
      <x:c r="G823" s="106" t="str"/>
      <x:c r="H823" s="18" t="str">
        <x:v>日射の差から風が生じるまで</x:v>
      </x:c>
      <x:c r="I823" s="18" t="str">
        <x:v>地表の温まり方に差があると、接する空気の温度・密度・気圧に差ができる。空気は気圧の高い側から低い側へ動き、風となる。地球の自転や地形で実際の向きは修正される。つながり：日射／温度差／気圧差／風</x:v>
      </x:c>
      <x:c r="J823" s="18" t="str">
        <x:v>日射／温度差／気圧差／風</x:v>
      </x:c>
    </x:row>
    <x:row r="824" ht="62" customHeight="1">
      <x:c r="A824" s="106" t="str">
        <x:v>INQ-101</x:v>
      </x:c>
      <x:c r="B824" s="106" t="str">
        <x:v>探究</x:v>
      </x:c>
      <x:c r="C824" s="106" t="str">
        <x:v>横断</x:v>
      </x:c>
      <x:c r="D824" s="106" t="str">
        <x:v>領域横断</x:v>
      </x:c>
      <x:c r="E824" s="106" t="str">
        <x:v>因果</x:v>
      </x:c>
      <x:c r="F824" s="106" t="str">
        <x:v>B</x:v>
      </x:c>
      <x:c r="G824" s="106" t="str"/>
      <x:c r="H824" s="18" t="str">
        <x:v>気圧・膨張・状態変化で雲を説明する</x:v>
      </x:c>
      <x:c r="I824" s="18" t="str">
        <x:v>上昇した空気は周囲の気圧低下で膨張し、外へ仕事をして温度が下がる。露点（ろてん）に達すると気体の水蒸気が液体の水滴や固体の氷へ状態変化し、雲として見える。つながり：気圧／膨張／露点／状態変化</x:v>
      </x:c>
      <x:c r="J824" s="18" t="str">
        <x:v>気圧／膨張／露点／状態変化</x:v>
      </x:c>
    </x:row>
    <x:row r="825" ht="62" customHeight="1">
      <x:c r="A825" s="106" t="str">
        <x:v>INQ-102</x:v>
      </x:c>
      <x:c r="B825" s="106" t="str">
        <x:v>探究</x:v>
      </x:c>
      <x:c r="C825" s="106" t="str">
        <x:v>横断</x:v>
      </x:c>
      <x:c r="D825" s="106" t="str">
        <x:v>領域横断</x:v>
      </x:c>
      <x:c r="E825" s="106" t="str">
        <x:v>因果</x:v>
      </x:c>
      <x:c r="F825" s="106" t="str">
        <x:v>A</x:v>
      </x:c>
      <x:c r="G825" s="106" t="str"/>
      <x:c r="H825" s="18" t="str">
        <x:v>雨が地層の材料を運ぶ道筋</x:v>
      </x:c>
      <x:c r="I825" s="18" t="str">
        <x:v>降水が地表を流れると、流水が岩石・土砂を侵食（しんしょく）して運搬（うんぱん）する。流れが弱まる場所で粒が堆積（たいせき）し、長い時間に重なって地層の材料になる。つながり：降水／侵食／運搬／堆積</x:v>
      </x:c>
      <x:c r="J825" s="18" t="str">
        <x:v>降水／侵食／運搬／堆積</x:v>
      </x:c>
    </x:row>
    <x:row r="826" ht="62" customHeight="1">
      <x:c r="A826" s="106" t="str">
        <x:v>INQ-103</x:v>
      </x:c>
      <x:c r="B826" s="106" t="str">
        <x:v>探究</x:v>
      </x:c>
      <x:c r="C826" s="106" t="str">
        <x:v>横断</x:v>
      </x:c>
      <x:c r="D826" s="106" t="str">
        <x:v>領域横断</x:v>
      </x:c>
      <x:c r="E826" s="106" t="str">
        <x:v>因果</x:v>
      </x:c>
      <x:c r="F826" s="106" t="str">
        <x:v>B</x:v>
      </x:c>
      <x:c r="G826" s="106" t="str"/>
      <x:c r="H826" s="18" t="str">
        <x:v>土の粒と浸水リスクを結ぶ考え方</x:v>
      </x:c>
      <x:c r="I826" s="18" t="str">
        <x:v>一般に粗い粒の間には大きな隙間があり水がしみ込みやすいが、地面の締まり方・下層・傾き・降雨強度でも流出量は変わる。粒の大きさ一つだけで洪水を断定しない。つながり：土の粒／浸透／表面流出／洪水</x:v>
      </x:c>
      <x:c r="J826" s="18" t="str">
        <x:v>土の粒／浸透／表面流出／洪水</x:v>
      </x:c>
    </x:row>
    <x:row r="827" ht="62" customHeight="1">
      <x:c r="A827" s="106" t="str">
        <x:v>INQ-104</x:v>
      </x:c>
      <x:c r="B827" s="106" t="str">
        <x:v>探究</x:v>
      </x:c>
      <x:c r="C827" s="106" t="str">
        <x:v>横断</x:v>
      </x:c>
      <x:c r="D827" s="106" t="str">
        <x:v>領域横断</x:v>
      </x:c>
      <x:c r="E827" s="106" t="str">
        <x:v>因果</x:v>
      </x:c>
      <x:c r="F827" s="106" t="str">
        <x:v>A</x:v>
      </x:c>
      <x:c r="G827" s="106" t="str"/>
      <x:c r="H827" s="18" t="str">
        <x:v>地球内部の熱が災害と恵みを生むまで</x:v>
      </x:c>
      <x:c r="I827" s="18" t="str">
        <x:v>地球内部の熱に関わるマグマ活動やプレート運動は、火山・地震・山地を生む。噴火や揺れは災害となる一方、温泉・地熱・肥沃な土壌・地形などの恵みにもつながる。つながり：地球内部の熱／プレート／火山／地震</x:v>
      </x:c>
      <x:c r="J827" s="18" t="str">
        <x:v>地球内部の熱／プレート／火山／地震</x:v>
      </x:c>
    </x:row>
    <x:row r="828" ht="62" customHeight="1">
      <x:c r="A828" s="106" t="str">
        <x:v>INQ-105</x:v>
      </x:c>
      <x:c r="B828" s="106" t="str">
        <x:v>探究</x:v>
      </x:c>
      <x:c r="C828" s="106" t="str">
        <x:v>横断</x:v>
      </x:c>
      <x:c r="D828" s="106" t="str">
        <x:v>領域横断</x:v>
      </x:c>
      <x:c r="E828" s="106" t="str">
        <x:v>因果</x:v>
      </x:c>
      <x:c r="F828" s="106" t="str">
        <x:v>A</x:v>
      </x:c>
      <x:c r="G828" s="106" t="str"/>
      <x:c r="H828" s="18" t="str">
        <x:v>粒子運動から対流が起こるまで</x:v>
      </x:c>
      <x:c r="I828" s="18" t="str">
        <x:v>加熱で粒子運動が活発になり、多くの物質は膨張して密度が小さくなる。流体では軽くなった部分が上昇し、冷たく密度の大きい部分が沈んで対流する。つながり：粒子運動／熱膨張／密度／対流</x:v>
      </x:c>
      <x:c r="J828" s="18" t="str">
        <x:v>粒子運動／熱膨張／密度／対流</x:v>
      </x:c>
    </x:row>
    <x:row r="829" ht="62" customHeight="1">
      <x:c r="A829" s="106" t="str">
        <x:v>INQ-106</x:v>
      </x:c>
      <x:c r="B829" s="106" t="str">
        <x:v>探究</x:v>
      </x:c>
      <x:c r="C829" s="106" t="str">
        <x:v>横断</x:v>
      </x:c>
      <x:c r="D829" s="106" t="str">
        <x:v>領域横断</x:v>
      </x:c>
      <x:c r="E829" s="106" t="str">
        <x:v>因果</x:v>
      </x:c>
      <x:c r="F829" s="106" t="str">
        <x:v>A</x:v>
      </x:c>
      <x:c r="G829" s="106" t="str"/>
      <x:c r="H829" s="18" t="str">
        <x:v>電池でモーターが回るまでのエネルギー</x:v>
      </x:c>
      <x:c r="I829" s="18" t="str">
        <x:v>電池内の化学変化で化学エネルギーが電気エネルギーへ変わり、電流と磁界（じかい）の作用でモーターの運動エネルギーになる。同時に一部は抵抗や摩擦で熱・音へ移る。つながり：化学電池／電流／磁界／モーター</x:v>
      </x:c>
      <x:c r="J829" s="18" t="str">
        <x:v>化学電池／電流／磁界／モーター</x:v>
      </x:c>
    </x:row>
    <x:row r="830" ht="62" customHeight="1">
      <x:c r="A830" s="106" t="str">
        <x:v>INQ-107</x:v>
      </x:c>
      <x:c r="B830" s="106" t="str">
        <x:v>探究</x:v>
      </x:c>
      <x:c r="C830" s="106" t="str">
        <x:v>横断</x:v>
      </x:c>
      <x:c r="D830" s="106" t="str">
        <x:v>領域横断</x:v>
      </x:c>
      <x:c r="E830" s="106" t="str">
        <x:v>因果</x:v>
      </x:c>
      <x:c r="F830" s="106" t="str">
        <x:v>A</x:v>
      </x:c>
      <x:c r="G830" s="106" t="str"/>
      <x:c r="H830" s="18" t="str">
        <x:v>発電機から家庭の機器までの変換</x:v>
      </x:c>
      <x:c r="I830" s="18" t="str">
        <x:v>タービン等の運動で磁界（じかい）を変化させ、電磁誘導（でんじゆうどう）により電気エネルギーを得る。送られた電気は機器で光・熱・音・運動へ変わり、変換のたび一部が利用目的外の熱になる。つながり：発電機／電磁誘導／電気エネルギー／効率</x:v>
      </x:c>
      <x:c r="J830" s="18" t="str">
        <x:v>発電機／電磁誘導／電気エネルギー／効率</x:v>
      </x:c>
    </x:row>
    <x:row r="831" ht="62" customHeight="1">
      <x:c r="A831" s="106" t="str">
        <x:v>INQ-108</x:v>
      </x:c>
      <x:c r="B831" s="106" t="str">
        <x:v>探究</x:v>
      </x:c>
      <x:c r="C831" s="106" t="str">
        <x:v>横断</x:v>
      </x:c>
      <x:c r="D831" s="106" t="str">
        <x:v>領域横断</x:v>
      </x:c>
      <x:c r="E831" s="106" t="str">
        <x:v>因果</x:v>
      </x:c>
      <x:c r="F831" s="106" t="str">
        <x:v>A</x:v>
      </x:c>
      <x:c r="G831" s="106" t="str"/>
      <x:c r="H831" s="18" t="str">
        <x:v>高い所の水が発電するまで</x:v>
      </x:c>
      <x:c r="I831" s="18" t="str">
        <x:v>高所の水がもつ位置エネルギーが、落下・流下で運動エネルギーになり、水車を回す。発電機で電気エネルギーへ変換されるが、流域環境への影響も資料で評価する。つながり：位置エネルギー／流水／タービン／水力発電</x:v>
      </x:c>
      <x:c r="J831" s="18" t="str">
        <x:v>位置エネルギー／流水／タービン／水力発電</x:v>
      </x:c>
    </x:row>
    <x:row r="832" ht="62" customHeight="1">
      <x:c r="A832" s="106" t="str">
        <x:v>INQ-109</x:v>
      </x:c>
      <x:c r="B832" s="106" t="str">
        <x:v>探究</x:v>
      </x:c>
      <x:c r="C832" s="106" t="str">
        <x:v>横断</x:v>
      </x:c>
      <x:c r="D832" s="106" t="str">
        <x:v>領域横断</x:v>
      </x:c>
      <x:c r="E832" s="106" t="str">
        <x:v>因果</x:v>
      </x:c>
      <x:c r="F832" s="106" t="str">
        <x:v>A</x:v>
      </x:c>
      <x:c r="G832" s="106" t="str"/>
      <x:c r="H832" s="18" t="str">
        <x:v>水溶液の粒子が電流を運ぶまで</x:v>
      </x:c>
      <x:c r="I832" s="18" t="str">
        <x:v>電解質（でんかいしつ）が水に溶けて陽イオン（よういおん）と陰イオン（いんいおん）になり、電圧を加えると反対符号の電極へ移動する。電極では電子の受け渡しが起こり、回路として電流が続く。つながり：電解質／イオン／電極／電気分解</x:v>
      </x:c>
      <x:c r="J832" s="18" t="str">
        <x:v>電解質／イオン／電極／電気分解</x:v>
      </x:c>
    </x:row>
    <x:row r="833" ht="62" customHeight="1">
      <x:c r="A833" s="106" t="str">
        <x:v>INQ-110</x:v>
      </x:c>
      <x:c r="B833" s="106" t="str">
        <x:v>探究</x:v>
      </x:c>
      <x:c r="C833" s="106" t="str">
        <x:v>横断</x:v>
      </x:c>
      <x:c r="D833" s="106" t="str">
        <x:v>領域横断</x:v>
      </x:c>
      <x:c r="E833" s="106" t="str">
        <x:v>読図</x:v>
      </x:c>
      <x:c r="F833" s="106" t="str">
        <x:v>A</x:v>
      </x:c>
      <x:c r="G833" s="106" t="str"/>
      <x:c r="H833" s="18" t="str">
        <x:v>中和（ちゅうわ）の進み方を複数データで判断する</x:v>
      </x:c>
      <x:c r="I833" s="18" t="str">
        <x:v>指示薬の色だけでなく、pH、温度、加えた体積、沈殿（ちんでん）などを合わせて見る。酸とアルカリを混ぜても量がつり合わなければ一方が残り、中性とは限らない。つながり：中和（ちゅうわ）／pH／指示薬／量的関係</x:v>
      </x:c>
      <x:c r="J833" s="18" t="str">
        <x:v>中和ちゅうわ&lt;／rt&gt;&lt;／ruby&gt;／pH／指示薬／量的関係</x:v>
      </x:c>
    </x:row>
    <x:row r="834" ht="62" customHeight="1">
      <x:c r="A834" s="106" t="str">
        <x:v>INQ-111</x:v>
      </x:c>
      <x:c r="B834" s="106" t="str">
        <x:v>探究</x:v>
      </x:c>
      <x:c r="C834" s="106" t="str">
        <x:v>横断</x:v>
      </x:c>
      <x:c r="D834" s="106" t="str">
        <x:v>領域横断</x:v>
      </x:c>
      <x:c r="E834" s="106" t="str">
        <x:v>因果</x:v>
      </x:c>
      <x:c r="F834" s="106" t="str">
        <x:v>A</x:v>
      </x:c>
      <x:c r="G834" s="106" t="str"/>
      <x:c r="H834" s="18" t="str">
        <x:v>食物が細胞のエネルギー源になるまで</x:v>
      </x:c>
      <x:c r="I834" s="18" t="str">
        <x:v>食物は消化で吸収可能な物質になり、小腸から血液へ入る。循環で細胞へ届き、酸素を使う細胞呼吸でエネルギーが取り出され、二酸化（さんか）炭素などが生じる。つながり：消化／吸収／血液循環／細胞呼吸</x:v>
      </x:c>
      <x:c r="J834" s="18" t="str">
        <x:v>消化／吸収／血液循環／細胞呼吸</x:v>
      </x:c>
    </x:row>
    <x:row r="835" ht="62" customHeight="1">
      <x:c r="A835" s="106" t="str">
        <x:v>INQ-112</x:v>
      </x:c>
      <x:c r="B835" s="106" t="str">
        <x:v>探究</x:v>
      </x:c>
      <x:c r="C835" s="106" t="str">
        <x:v>横断</x:v>
      </x:c>
      <x:c r="D835" s="106" t="str">
        <x:v>領域横断</x:v>
      </x:c>
      <x:c r="E835" s="106" t="str">
        <x:v>因果</x:v>
      </x:c>
      <x:c r="F835" s="106" t="str">
        <x:v>A</x:v>
      </x:c>
      <x:c r="G835" s="106" t="str"/>
      <x:c r="H835" s="18" t="str">
        <x:v>根から大気へ水が移る道筋</x:v>
      </x:c>
      <x:c r="I835" s="18" t="str">
        <x:v>根から吸収された水は主に道管（どうかん）を通って葉へ運ばれ、気孔（きこう）から水蒸気として蒸散（じょうさん）する。植物の水移動は土壌と大気を結び、水循環の一部になる。つながり：根／道管／気孔／蒸散</x:v>
      </x:c>
      <x:c r="J835" s="18" t="str">
        <x:v>根／道管／気孔／蒸散</x:v>
      </x:c>
    </x:row>
    <x:row r="836" ht="62" customHeight="1">
      <x:c r="A836" s="106" t="str">
        <x:v>INQ-113</x:v>
      </x:c>
      <x:c r="B836" s="106" t="str">
        <x:v>探究</x:v>
      </x:c>
      <x:c r="C836" s="106" t="str">
        <x:v>横断</x:v>
      </x:c>
      <x:c r="D836" s="106" t="str">
        <x:v>領域横断</x:v>
      </x:c>
      <x:c r="E836" s="106" t="str">
        <x:v>因果</x:v>
      </x:c>
      <x:c r="F836" s="106" t="str">
        <x:v>A</x:v>
      </x:c>
      <x:c r="G836" s="106" t="str"/>
      <x:c r="H836" s="18" t="str">
        <x:v>葉のでんぷんと生態系を結ぶ証拠</x:v>
      </x:c>
      <x:c r="I836" s="18" t="str">
        <x:v>日光を当てた葉ででんぷんが検出されれば、光合成で有機物がつくられた証拠になる。その有機物は植物の成長や、植物を食べる生物の物質・エネルギー源になる。つながり：でんぷん／光合成／成長／食物連鎖</x:v>
      </x:c>
      <x:c r="J836" s="18" t="str">
        <x:v>でんぷん／光合成／成長／食物連鎖</x:v>
      </x:c>
    </x:row>
    <x:row r="837" ht="62" customHeight="1">
      <x:c r="A837" s="106" t="str">
        <x:v>INQ-114</x:v>
      </x:c>
      <x:c r="B837" s="106" t="str">
        <x:v>探究</x:v>
      </x:c>
      <x:c r="C837" s="106" t="str">
        <x:v>横断</x:v>
      </x:c>
      <x:c r="D837" s="106" t="str">
        <x:v>領域横断</x:v>
      </x:c>
      <x:c r="E837" s="106" t="str">
        <x:v>因果</x:v>
      </x:c>
      <x:c r="F837" s="106" t="str">
        <x:v>A</x:v>
      </x:c>
      <x:c r="G837" s="106" t="str"/>
      <x:c r="H837" s="18" t="str">
        <x:v>遺伝（いでん）子から進化までのつながり</x:v>
      </x:c>
      <x:c r="I837" s="18" t="str">
        <x:v>遺伝（いでん）子は染色体にあり、細胞分裂・生殖を通じて形質に関わる情報が子へ伝わる。遺伝する変異の割合が世代を重ねて集団内で変わることが、進化につながる。つながり：遺伝子／染色体／生殖／進化</x:v>
      </x:c>
      <x:c r="J837" s="18" t="str">
        <x:v>遺伝子／染色体／生殖／進化</x:v>
      </x:c>
    </x:row>
    <x:row r="838" ht="62" customHeight="1">
      <x:c r="A838" s="106" t="str">
        <x:v>INQ-115</x:v>
      </x:c>
      <x:c r="B838" s="106" t="str">
        <x:v>探究</x:v>
      </x:c>
      <x:c r="C838" s="106" t="str">
        <x:v>横断</x:v>
      </x:c>
      <x:c r="D838" s="106" t="str">
        <x:v>領域横断</x:v>
      </x:c>
      <x:c r="E838" s="106" t="str">
        <x:v>因果</x:v>
      </x:c>
      <x:c r="F838" s="106" t="str">
        <x:v>B</x:v>
      </x:c>
      <x:c r="G838" s="106" t="str"/>
      <x:c r="H838" s="18" t="str">
        <x:v>分類の共通点が進化の証拠になる理由</x:v>
      </x:c>
      <x:c r="I838" s="18" t="str">
        <x:v>多くの構造・発生・化石の特徴が共通する生物ほど、共通の祖先をもつという説明と整合しやすい。外見一つだけでなく複数の独立した証拠を合わせる。つながり：分類／共通点／化石／共通祖先</x:v>
      </x:c>
      <x:c r="J838" s="18" t="str">
        <x:v>分類／共通点／化石／共通祖先</x:v>
      </x:c>
    </x:row>
    <x:row r="839" ht="62" customHeight="1">
      <x:c r="A839" s="106" t="str">
        <x:v>INQ-116</x:v>
      </x:c>
      <x:c r="B839" s="106" t="str">
        <x:v>探究</x:v>
      </x:c>
      <x:c r="C839" s="106" t="str">
        <x:v>横断</x:v>
      </x:c>
      <x:c r="D839" s="106" t="str">
        <x:v>領域横断</x:v>
      </x:c>
      <x:c r="E839" s="106" t="str">
        <x:v>読図</x:v>
      </x:c>
      <x:c r="F839" s="106" t="str">
        <x:v>A</x:v>
      </x:c>
      <x:c r="G839" s="106" t="str"/>
      <x:c r="H839" s="18" t="str">
        <x:v>地球の自転を確かめる観察記録</x:v>
      </x:c>
      <x:c r="I839" s="18" t="str">
        <x:v>太陽・月・星が一日の間に東から西へ動く記録は、地球が西から東へ自転する模型で統一的に説明できる。一つの天体だけでなく複数天体の共通した動きが証拠を強める。つながり：自転／日周運動（にっしゅううんどう）／天体観察／模型</x:v>
      </x:c>
      <x:c r="J839" s="18" t="str">
        <x:v>自転／日周運動にっしゅううんどう&lt;／rt&gt;&lt;／ruby&gt;／天体観察／模型</x:v>
      </x:c>
    </x:row>
    <x:row r="840" ht="62" customHeight="1">
      <x:c r="A840" s="106" t="str">
        <x:v>INQ-117</x:v>
      </x:c>
      <x:c r="B840" s="106" t="str">
        <x:v>探究</x:v>
      </x:c>
      <x:c r="C840" s="106" t="str">
        <x:v>横断</x:v>
      </x:c>
      <x:c r="D840" s="106" t="str">
        <x:v>領域横断</x:v>
      </x:c>
      <x:c r="E840" s="106" t="str">
        <x:v>因果</x:v>
      </x:c>
      <x:c r="F840" s="106" t="str">
        <x:v>A</x:v>
      </x:c>
      <x:c r="G840" s="106" t="str"/>
      <x:c r="H840" s="18" t="str">
        <x:v>季節と生物を地球の運動から説明する</x:v>
      </x:c>
      <x:c r="I840" s="18" t="str">
        <x:v>地軸が傾いたまま地球が公転するため、季節で太陽の南中高度（なんちゅうこうど）と昼の長さが変わり、受ける日射量が変わる。気温や生物の成長・活動の年変化へつながる。つながり：公転／地軸／日射量／季節</x:v>
      </x:c>
      <x:c r="J840" s="18" t="str">
        <x:v>公転／地軸／日射量／季節</x:v>
      </x:c>
    </x:row>
    <x:row r="841" ht="62" customHeight="1">
      <x:c r="A841" s="106" t="str">
        <x:v>INQ-118</x:v>
      </x:c>
      <x:c r="B841" s="106" t="str">
        <x:v>探究</x:v>
      </x:c>
      <x:c r="C841" s="106" t="str">
        <x:v>横断</x:v>
      </x:c>
      <x:c r="D841" s="106" t="str">
        <x:v>領域横断</x:v>
      </x:c>
      <x:c r="E841" s="106" t="str">
        <x:v>比較</x:v>
      </x:c>
      <x:c r="F841" s="106" t="str">
        <x:v>A</x:v>
      </x:c>
      <x:c r="G841" s="106" t="str"/>
      <x:c r="H841" s="18" t="str">
        <x:v>月の満ち欠けを月食（げっしょく）と区別する証拠</x:v>
      </x:c>
      <x:c r="I841" s="18" t="str">
        <x:v>満ち欠けは太陽に照らされた月の半面を、地球から見る角度が変わるため毎月起こる。地球の影に月が入る月食（げっしょく）は満月のときだけ起こる特別な現象で、毎月は起こらない。つながり：月の満ち欠け／月食／太陽光／位置関係</x:v>
      </x:c>
      <x:c r="J841" s="18" t="str">
        <x:v>月の満ち欠け／月食／太陽光／位置関係</x:v>
      </x:c>
    </x:row>
    <x:row r="842" ht="62" customHeight="1">
      <x:c r="A842" s="106" t="str">
        <x:v>INQ-119</x:v>
      </x:c>
      <x:c r="B842" s="106" t="str">
        <x:v>探究</x:v>
      </x:c>
      <x:c r="C842" s="106" t="str">
        <x:v>横断</x:v>
      </x:c>
      <x:c r="D842" s="106" t="str">
        <x:v>領域横断</x:v>
      </x:c>
      <x:c r="E842" s="106" t="str">
        <x:v>読図</x:v>
      </x:c>
      <x:c r="F842" s="106" t="str">
        <x:v>A</x:v>
      </x:c>
      <x:c r="G842" s="106" t="str"/>
      <x:c r="H842" s="18" t="str">
        <x:v>豪雨時の危険を複数資料から読む</x:v>
      </x:c>
      <x:c r="I842" s="18" t="str">
        <x:v>雨量だけでなく、短時間雨量、土壌の水分、川の水位、地形、上流の降雨、避難情報を合わせる。自分の場所が晴れていても、上流の雨で増水することがある。つながり：雨量／河川水位／地形／避難情報</x:v>
      </x:c>
      <x:c r="J842" s="18" t="str">
        <x:v>雨量／河川水位／地形／避難情報</x:v>
      </x:c>
    </x:row>
    <x:row r="843" ht="62" customHeight="1">
      <x:c r="A843" s="106" t="str">
        <x:v>INQ-120</x:v>
      </x:c>
      <x:c r="B843" s="106" t="str">
        <x:v>探究</x:v>
      </x:c>
      <x:c r="C843" s="106" t="str">
        <x:v>横断</x:v>
      </x:c>
      <x:c r="D843" s="106" t="str">
        <x:v>領域横断</x:v>
      </x:c>
      <x:c r="E843" s="106" t="str">
        <x:v>読図</x:v>
      </x:c>
      <x:c r="F843" s="106" t="str">
        <x:v>A</x:v>
      </x:c>
      <x:c r="G843" s="106" t="str"/>
      <x:c r="H843" s="18" t="str">
        <x:v>発電方法を一つの数値だけで選べない理由</x:v>
      </x:c>
      <x:c r="I843" s="18" t="str">
        <x:v>発電量、安定性、費用、二酸化（さんか）炭素、廃棄物、土地利用、災害リスクは発電方法ごとに異なる。共通単位・同じ期間の複数資料を比べ、目的と重み付けを示して判断する。つながり：発電／エネルギー資源／環境負荷／意思決定</x:v>
      </x:c>
      <x:c r="J843" s="18" t="str">
        <x:v>発電／エネルギー資源／環境負荷／意思決定</x:v>
      </x:c>
    </x:row>
    <x:row r="844" ht="62" customHeight="1">
      <x:c r="A844" s="106" t="str">
        <x:v>PHY-006</x:v>
      </x:c>
      <x:c r="B844" s="106" t="str">
        <x:v>物理</x:v>
      </x:c>
      <x:c r="C844" s="106" t="str">
        <x:v>横断</x:v>
      </x:c>
      <x:c r="D844" s="106" t="str">
        <x:v>測定</x:v>
      </x:c>
      <x:c r="E844" s="106" t="str">
        <x:v>計算</x:v>
      </x:c>
      <x:c r="F844" s="106" t="str">
        <x:v>B</x:v>
      </x:c>
      <x:c r="G844" s="106" t="str"/>
      <x:c r="H844" s="18" t="str">
        <x:v>平均値</x:v>
      </x:c>
      <x:c r="I844" s="18" t="str">
        <x:v>同じ量を何回か測ったとき、測定値の合計を回数で割った値。偶然のばらつきの影響を小さくできるが、器具のずれなど同じ向きの誤差は消せない。つながり：測定誤差／反復測定／グラフ</x:v>
      </x:c>
      <x:c r="J844" s="18" t="str">
        <x:v>測定誤差／反復測定／グラフ</x:v>
      </x:c>
    </x:row>
    <x:row r="845" ht="62" customHeight="1">
      <x:c r="A845" s="106" t="str">
        <x:v>PHY-007</x:v>
      </x:c>
      <x:c r="B845" s="106" t="str">
        <x:v>物理</x:v>
      </x:c>
      <x:c r="C845" s="106" t="str">
        <x:v>横断</x:v>
      </x:c>
      <x:c r="D845" s="106" t="str">
        <x:v>探究</x:v>
      </x:c>
      <x:c r="E845" s="106" t="str">
        <x:v>比較</x:v>
      </x:c>
      <x:c r="F845" s="106" t="str">
        <x:v>B</x:v>
      </x:c>
      <x:c r="G845" s="106" t="str"/>
      <x:c r="H845" s="18" t="str">
        <x:v>条件制御のまとめ</x:v>
      </x:c>
      <x:c r="I845" s="18" t="str">
        <x:v>調べたい原因だけを変え、それ以外を同じにする。変える条件は独立変数（どくりつへんすう）、結果として測る量は従属変数（じゅうぞくへんすう）という。公平な比較の基本である。つながり：対照実験（たいしょうじっけん）／変数／再現性（さいげんせい）</x:v>
      </x:c>
      <x:c r="J845" s="18" t="str">
        <x:v>対照実験たいしょうじっけん&lt;／rt&gt;&lt;／ruby&gt;／変数／再現性さいげんせい&lt;／rt&gt;&lt;／ruby&gt;</x:v>
      </x:c>
    </x:row>
    <x:row r="846" ht="62" customHeight="1">
      <x:c r="A846" s="106" t="str">
        <x:v>PHY-008</x:v>
      </x:c>
      <x:c r="B846" s="106" t="str">
        <x:v>物理</x:v>
      </x:c>
      <x:c r="C846" s="106" t="str">
        <x:v>横断</x:v>
      </x:c>
      <x:c r="D846" s="106" t="str">
        <x:v>探究</x:v>
      </x:c>
      <x:c r="E846" s="106" t="str">
        <x:v>比較</x:v>
      </x:c>
      <x:c r="F846" s="106" t="str">
        <x:v>B</x:v>
      </x:c>
      <x:c r="G846" s="106" t="str"/>
      <x:c r="H846" s="18" t="str">
        <x:v>表とグラフの役割（まとめ）</x:v>
      </x:c>
      <x:c r="I846" s="18" t="str">
        <x:v>表は個々の測定値を正確に示し、グラフは変化の傾向や比例関係を見やすくする。横軸に変えた量、縦軸に結果の量を置き、軸名と単位を書く。つながり：変数／比例／読図</x:v>
      </x:c>
      <x:c r="J846" s="18" t="str">
        <x:v>変数／比例／読図</x:v>
      </x:c>
    </x:row>
    <x:row r="847" ht="62" customHeight="1">
      <x:c r="A847" s="106" t="str">
        <x:v>PHY-009</x:v>
      </x:c>
      <x:c r="B847" s="106" t="str">
        <x:v>物理</x:v>
      </x:c>
      <x:c r="C847" s="106" t="str">
        <x:v>横断</x:v>
      </x:c>
      <x:c r="D847" s="106" t="str">
        <x:v>探究</x:v>
      </x:c>
      <x:c r="E847" s="106" t="str">
        <x:v>読図</x:v>
      </x:c>
      <x:c r="F847" s="106" t="str">
        <x:v>B</x:v>
      </x:c>
      <x:c r="G847" s="106" t="str"/>
      <x:c r="H847" s="18" t="str">
        <x:v>物理で比例を見抜く手掛かり</x:v>
      </x:c>
      <x:c r="I847" s="18" t="str">
        <x:v>原点を通る直線か、対応する値の比が一定かを確かめる。ばねの伸びと力、一定温度での電流と電圧などは範囲内で比例するが、直線でも原点を通らなければ比例ではない。つながり：ばね／オームの法則／原点</x:v>
      </x:c>
      <x:c r="J847" s="18" t="str">
        <x:v>ばね／オームの法則／原点</x:v>
      </x:c>
    </x:row>
    <x:row r="848" ht="62" customHeight="1">
      <x:c r="A848" s="106" t="str">
        <x:v>PHY-010</x:v>
      </x:c>
      <x:c r="B848" s="106" t="str">
        <x:v>物理</x:v>
      </x:c>
      <x:c r="C848" s="106" t="str">
        <x:v>横断</x:v>
      </x:c>
      <x:c r="D848" s="106" t="str">
        <x:v>探究</x:v>
      </x:c>
      <x:c r="E848" s="106" t="str">
        <x:v>読図</x:v>
      </x:c>
      <x:c r="F848" s="106" t="str">
        <x:v>B</x:v>
      </x:c>
      <x:c r="G848" s="106" t="str"/>
      <x:c r="H848" s="18" t="str">
        <x:v>反比例のグラフ</x:v>
      </x:c>
      <x:c r="I848" s="18" t="str">
        <x:v>一方が2倍になると他方が1/2になる関係で、2つの量の積が一定。グラフは原点を通る直線ではなく曲線になる。押す力が一定のときの圧力と面積などで現れる。つながり：比例／圧力／積が一定</x:v>
      </x:c>
      <x:c r="J848" s="18" t="str">
        <x:v>比例／圧力／積が一定</x:v>
      </x:c>
    </x:row>
    <x:row r="849" ht="62" customHeight="1">
      <x:c r="A849" s="106" t="str">
        <x:v>PHY-062</x:v>
      </x:c>
      <x:c r="B849" s="106" t="str">
        <x:v>物理</x:v>
      </x:c>
      <x:c r="C849" s="106" t="str">
        <x:v>横断</x:v>
      </x:c>
      <x:c r="D849" s="106" t="str">
        <x:v>熱</x:v>
      </x:c>
      <x:c r="E849" s="106" t="str">
        <x:v>誤解対策</x:v>
      </x:c>
      <x:c r="F849" s="106" t="str">
        <x:v>B</x:v>
      </x:c>
      <x:c r="G849" s="106" t="str"/>
      <x:c r="H849" s="18" t="str">
        <x:v>温度と熱の違い</x:v>
      </x:c>
      <x:c r="I849" s="18" t="str">
        <x:v>温度は物体の熱さ・冷たさの程度、熱は温度差によって移動するエネルギー。同じ基準温度まで冷やすなら、少量の熱湯より大量のぬるま湯のほうが多くのエネルギーを放出することもある。つながり：熱量／比熱／熱平衡</x:v>
      </x:c>
      <x:c r="J849" s="18" t="str">
        <x:v>熱量／比熱／熱平衡</x:v>
      </x:c>
    </x:row>
    <x:row r="850" ht="62" customHeight="1">
      <x:c r="A850" s="106" t="str">
        <x:v>PHY-063</x:v>
      </x:c>
      <x:c r="B850" s="106" t="str">
        <x:v>物理</x:v>
      </x:c>
      <x:c r="C850" s="106" t="str">
        <x:v>横断</x:v>
      </x:c>
      <x:c r="D850" s="106" t="str">
        <x:v>熱</x:v>
      </x:c>
      <x:c r="E850" s="106" t="str">
        <x:v>因果</x:v>
      </x:c>
      <x:c r="F850" s="106" t="str">
        <x:v>C</x:v>
      </x:c>
      <x:c r="G850" s="106" t="str"/>
      <x:c r="H850" s="18" t="str">
        <x:v>熱平衡</x:v>
      </x:c>
      <x:c r="I850" s="18" t="str">
        <x:v>接触した高温物体から低温物体へ熱が移動し、やがて同じ温度になって見かけ上の熱移動が止まった状態。外部との熱の出入りがなければ、失った熱と得た熱は等しい。つながり：熱量保存／温度差／比熱</x:v>
      </x:c>
      <x:c r="J850" s="18" t="str">
        <x:v>熱量保存／温度差／比熱</x:v>
      </x:c>
    </x:row>
    <x:row r="851" ht="62" customHeight="1">
      <x:c r="A851" s="106" t="str">
        <x:v>PHY-094</x:v>
      </x:c>
      <x:c r="B851" s="106" t="str">
        <x:v>物理</x:v>
      </x:c>
      <x:c r="C851" s="106" t="str">
        <x:v>横断</x:v>
      </x:c>
      <x:c r="D851" s="106" t="str">
        <x:v>圧力</x:v>
      </x:c>
      <x:c r="E851" s="106" t="str">
        <x:v>用語</x:v>
      </x:c>
      <x:c r="F851" s="106" t="str">
        <x:v>B</x:v>
      </x:c>
      <x:c r="G851" s="106" t="str"/>
      <x:c r="H851" s="18" t="str">
        <x:v>アルキメデスの原理</x:v>
      </x:c>
      <x:c r="I851" s="18" t="str">
        <x:v>浮力（ふりょく）は、物体が押しのけた流体にはたらく重力に等しい。浮力＝流体の密度×排除体積×重力の強さ。SI単位ならkg/m³×m³×N/kg＝Nとなる。つながり：浮力／排除体積／密度</x:v>
      </x:c>
      <x:c r="J851" s="18" t="str">
        <x:v>浮力／排除体積／密度</x:v>
      </x:c>
    </x:row>
    <x:row r="852" ht="62" customHeight="1">
      <x:c r="A852" s="106" t="str">
        <x:v>CHE-059</x:v>
      </x:c>
      <x:c r="B852" s="106" t="str">
        <x:v>化学</x:v>
      </x:c>
      <x:c r="C852" s="106" t="str">
        <x:v>横断</x:v>
      </x:c>
      <x:c r="D852" s="106" t="str">
        <x:v>物質の分離</x:v>
      </x:c>
      <x:c r="E852" s="106" t="str">
        <x:v>比較</x:v>
      </x:c>
      <x:c r="F852" s="106" t="str">
        <x:v>A</x:v>
      </x:c>
      <x:c r="G852" s="106" t="str"/>
      <x:c r="H852" s="18" t="str">
        <x:v>分離法の選び方</x:v>
      </x:c>
      <x:c r="I852" s="18" t="str">
        <x:v>粒の大きさならろ過、溶解度（ようかいど）の温度差なら再結晶（さいけっしょう）、沸点（ふってん）差なら蒸留（じょうりゅう）、磁性差なら磁石を使う。分けたい成分間で異なる性質を特定するのが先。つながり：ろ過／再結晶／蒸留</x:v>
      </x:c>
      <x:c r="J852" s="18" t="str">
        <x:v>ろ過／再結晶／蒸留</x:v>
      </x:c>
    </x:row>
    <x:row r="853" ht="62" customHeight="1">
      <x:c r="A853" s="106" t="str">
        <x:v>CHE-139</x:v>
      </x:c>
      <x:c r="B853" s="106" t="str">
        <x:v>化学</x:v>
      </x:c>
      <x:c r="C853" s="106" t="str">
        <x:v>横断</x:v>
      </x:c>
      <x:c r="D853" s="106" t="str">
        <x:v>実験操作</x:v>
      </x:c>
      <x:c r="E853" s="106" t="str">
        <x:v>実験</x:v>
      </x:c>
      <x:c r="F853" s="106" t="str">
        <x:v>A</x:v>
      </x:c>
      <x:c r="G853" s="106" t="str"/>
      <x:c r="H853" s="18" t="str">
        <x:v>試験管を加熱するときの安全</x:v>
      </x:c>
      <x:c r="I853" s="18" t="str">
        <x:v>外側の水滴を拭き、口を人へ向けず、液量は多くしすぎない。固体を加熱して水が生じる場合は口を少し下げる。加熱部へ液が逆流すると試験管が割れる危険がある。つながり：逆流／熱分解／実験安全</x:v>
      </x:c>
      <x:c r="J853" s="18" t="str">
        <x:v>逆流／熱分解／実験安全</x:v>
      </x:c>
    </x:row>
    <x:row r="854" ht="62" customHeight="1">
      <x:c r="A854" s="106" t="str">
        <x:v>CHE-140</x:v>
      </x:c>
      <x:c r="B854" s="106" t="str">
        <x:v>化学</x:v>
      </x:c>
      <x:c r="C854" s="106" t="str">
        <x:v>横断</x:v>
      </x:c>
      <x:c r="D854" s="106" t="str">
        <x:v>実験操作</x:v>
      </x:c>
      <x:c r="E854" s="106" t="str">
        <x:v>実験</x:v>
      </x:c>
      <x:c r="F854" s="106" t="str">
        <x:v>B</x:v>
      </x:c>
      <x:c r="G854" s="106" t="str"/>
      <x:c r="H854" s="18" t="str">
        <x:v>未知の物質を調べる順序</x:v>
      </x:c>
      <x:c r="I854" s="18" t="str">
        <x:v>外観だけで断定せず、溶解性、密度、融点（ゆうてん）・沸点（ふってん）、導電性、指示薬、気体・沈殿（ちんでん）反応など複数の性質を安全に調べる。1つの結果で候補を絞り、別試験で確認する。つながり：物質の同定／対照実験（たいしょうじっけん）／再現性（さいげんせい）</x:v>
      </x:c>
      <x:c r="J854" s="18" t="str">
        <x:v>物質の同定／対照実験たいしょうじっけん&lt;／rt&gt;&lt;／ruby&gt;／再現性さいげんせい&lt;／rt&gt;&lt;／ruby&gt;</x:v>
      </x:c>
    </x:row>
    <x:row r="855" ht="62" customHeight="1">
      <x:c r="A855" s="106" t="str">
        <x:v>BIO-002</x:v>
      </x:c>
      <x:c r="B855" s="106" t="str">
        <x:v>生物</x:v>
      </x:c>
      <x:c r="C855" s="106" t="str">
        <x:v>横断</x:v>
      </x:c>
      <x:c r="D855" s="106" t="str">
        <x:v>観察の方法</x:v>
      </x:c>
      <x:c r="E855" s="106" t="str">
        <x:v>実験</x:v>
      </x:c>
      <x:c r="F855" s="106" t="str">
        <x:v>B</x:v>
      </x:c>
      <x:c r="G855" s="106" t="str"/>
      <x:c r="H855" s="18" t="str">
        <x:v>生物を観察するときの記録</x:v>
      </x:c>
      <x:c r="I855" s="18" t="str">
        <x:v>日時・場所・天気・大きさ・色・形・数・動きなどを、気づいた事実と考えに分けて記録する。スケッチは細い線で大きく描き、影や想像を足さず、特徴を正確に示す。つながり：スケッチ／比較／観察／測定</x:v>
      </x:c>
      <x:c r="J855" s="18" t="str">
        <x:v>スケッチ／比較／観察／測定</x:v>
      </x:c>
    </x:row>
    <x:row r="856" ht="62" customHeight="1">
      <x:c r="A856" s="106" t="str">
        <x:v>EAR-024</x:v>
      </x:c>
      <x:c r="B856" s="106" t="str">
        <x:v>地学</x:v>
      </x:c>
      <x:c r="C856" s="106" t="str">
        <x:v>横断</x:v>
      </x:c>
      <x:c r="D856" s="106" t="str">
        <x:v>防災</x:v>
      </x:c>
      <x:c r="E856" s="106" t="str">
        <x:v>読図</x:v>
      </x:c>
      <x:c r="F856" s="106" t="str">
        <x:v>A</x:v>
      </x:c>
      <x:c r="G856" s="106" t="str"/>
      <x:c r="H856" s="18" t="str">
        <x:v>ハザードマップの読み方</x:v>
      </x:c>
      <x:c r="I856" s="18" t="str">
        <x:v>洪水・土砂災害・津波などの想定区域、避難場所、避難経路を示す地図。自宅が色の外でも安全と断定せず、災害の種類ごとに確認し、実際の警報と周囲の状況も合わせて行動する。つながり：防災／避難場所／洪水／土砂災害</x:v>
      </x:c>
      <x:c r="J856" s="18" t="str">
        <x:v>防災／避難場所／洪水／土砂災害</x:v>
      </x:c>
    </x:row>
    <x:row r="857" ht="62" customHeight="1">
      <x:c r="A857" s="106" t="str">
        <x:v>EAR-087</x:v>
      </x:c>
      <x:c r="B857" s="106" t="str">
        <x:v>地学</x:v>
      </x:c>
      <x:c r="C857" s="106" t="str">
        <x:v>横断</x:v>
      </x:c>
      <x:c r="D857" s="106" t="str">
        <x:v>地球史</x:v>
      </x:c>
      <x:c r="E857" s="106" t="str">
        <x:v>因果</x:v>
      </x:c>
      <x:c r="F857" s="106" t="str">
        <x:v>C</x:v>
      </x:c>
      <x:c r="G857" s="106" t="str"/>
      <x:c r="H857" s="18" t="str">
        <x:v>地球の歴史を復元する証拠</x:v>
      </x:c>
      <x:c r="I857" s="18" t="str">
        <x:v>地層の重なり、化石、放射性元素による年代、岩石の磁気など複数の証拠を組み合わせる。1つの化石や現在の地形だけで結論を出さず、相互に整合する説明を選ぶ。つながり：地層／化石／放射年代／地磁気</x:v>
      </x:c>
      <x:c r="J857" s="18" t="str">
        <x:v>地層／化石／放射年代／地磁気</x:v>
      </x:c>
    </x:row>
    <x:row r="858" ht="62" customHeight="1">
      <x:c r="A858" s="106" t="str">
        <x:v>EAR-168</x:v>
      </x:c>
      <x:c r="B858" s="106" t="str">
        <x:v>地学</x:v>
      </x:c>
      <x:c r="C858" s="106" t="str">
        <x:v>横断</x:v>
      </x:c>
      <x:c r="D858" s="106" t="str">
        <x:v>科学的モデル</x:v>
      </x:c>
      <x:c r="E858" s="106" t="str">
        <x:v>誤解対策</x:v>
      </x:c>
      <x:c r="F858" s="106" t="str">
        <x:v>B</x:v>
      </x:c>
      <x:c r="G858" s="106" t="str"/>
      <x:c r="H858" s="18" t="str">
        <x:v>天体の模型で距離と大きさを考える</x:v>
      </x:c>
      <x:c r="I858" s="18" t="str">
        <x:v>天体の大きさと距離を同じ縮尺で模型化すると、惑星（わくせい）間の空間が非常に広いと分かる。図では見やすさのため大きさ・距離が別縮尺の場合が多く、見た目の比をそのまま実寸比にしない。つながり：縮尺／太陽系／天体の大きさ／天体間距離</x:v>
      </x:c>
      <x:c r="J858" s="18" t="str">
        <x:v>縮尺／太陽系／天体の大きさ／天体間距離</x:v>
      </x:c>
    </x:row>
  </x:sheetData>
  <x:pageMargins left="0.7" right="0.7" top="0.75" bottom="0.75" header="0.3" footer="0.3"/>
  <x:tableParts count="1">
    <x:tablePart xmlns:r="http://schemas.openxmlformats.org/officeDocument/2006/relationships" r:id="R1f91eb8b845841e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4" hidden="0" customWidth="1"/>
    <x:col min="4" max="4" width="18" hidden="0" customWidth="1"/>
    <x:col min="5" max="5" width="12" hidden="0" customWidth="1"/>
    <x:col min="6" max="6" width="4" hidden="0" customWidth="1"/>
    <x:col min="7" max="7" width="18" hidden="0" customWidth="1"/>
    <x:col min="8" max="8" width="12" hidden="0" customWidth="1"/>
  </x:cols>
  <x:sheetData>
    <x:row r="1">
      <x:c r="A1" s="108" t="str">
        <x:v>教材構成サマリー</x:v>
      </x:c>
      <x:c r="B1" s="108"/>
      <x:c r="C1" s="108"/>
      <x:c r="D1" s="108"/>
      <x:c r="E1" s="108"/>
      <x:c r="F1" s="108"/>
      <x:c r="G1" s="108"/>
      <x:c r="H1" s="108"/>
    </x:row>
    <x:row r="2">
      <x:c r="A2" s="108"/>
      <x:c r="B2" s="108"/>
      <x:c r="C2" s="108"/>
      <x:c r="D2" s="108"/>
      <x:c r="E2" s="108"/>
      <x:c r="F2" s="108"/>
      <x:c r="G2" s="108"/>
      <x:c r="H2" s="108"/>
    </x:row>
    <x:row r="4" ht="26" customHeight="1">
      <x:c r="A4" s="10" t="str">
        <x:v>領域</x:v>
      </x:c>
      <x:c r="B4" s="11" t="str">
        <x:v>枚数</x:v>
      </x:c>
      <x:c r="D4" s="10" t="str">
        <x:v>段階</x:v>
      </x:c>
      <x:c r="E4" s="11" t="str">
        <x:v>枚数</x:v>
      </x:c>
      <x:c r="G4" s="10" t="str">
        <x:v>優先度</x:v>
      </x:c>
      <x:c r="H4" s="11" t="str">
        <x:v>枚数</x:v>
      </x:c>
    </x:row>
    <x:row r="5" ht="26" customHeight="1">
      <x:c r="A5" s="17" t="str">
        <x:v>探究</x:v>
      </x:c>
      <x:c r="B5" s="109" t="n">
        <x:f>COUNTIF('全カード'!$B$2:$B$858,A5)</x:f>
        <x:v>120</x:v>
      </x:c>
      <x:c r="D5" s="17" t="str">
        <x:v>小3</x:v>
      </x:c>
      <x:c r="E5" s="109" t="n">
        <x:f>COUNTIF('全カード'!$C$2:$C$858,D5)</x:f>
        <x:v>23</x:v>
      </x:c>
      <x:c r="G5" s="17" t="str">
        <x:v>A</x:v>
      </x:c>
      <x:c r="H5" s="109" t="n">
        <x:f>COUNTIF('全カード'!$F$2:$F$858,G5)</x:f>
        <x:v>666</x:v>
      </x:c>
    </x:row>
    <x:row r="6" ht="26" customHeight="1">
      <x:c r="A6" s="18" t="str">
        <x:v>物理</x:v>
      </x:c>
      <x:c r="B6" s="110" t="n">
        <x:f>COUNTIF('全カード'!$B$2:$B$858,A6)</x:f>
        <x:v>190</x:v>
      </x:c>
      <x:c r="D6" s="18" t="str">
        <x:v>小4</x:v>
      </x:c>
      <x:c r="E6" s="110" t="n">
        <x:f>COUNTIF('全カード'!$C$2:$C$858,D6)</x:f>
        <x:v>26</x:v>
      </x:c>
      <x:c r="G6" s="18" t="str">
        <x:v>B</x:v>
      </x:c>
      <x:c r="H6" s="110" t="n">
        <x:f>COUNTIF('全カード'!$F$2:$F$858,G6)</x:f>
        <x:v>176</x:v>
      </x:c>
    </x:row>
    <x:row r="7" ht="26" customHeight="1">
      <x:c r="A7" s="18" t="str">
        <x:v>化学</x:v>
      </x:c>
      <x:c r="B7" s="110" t="n">
        <x:f>COUNTIF('全カード'!$B$2:$B$858,A7)</x:f>
        <x:v>196</x:v>
      </x:c>
      <x:c r="D7" s="18" t="str">
        <x:v>小5</x:v>
      </x:c>
      <x:c r="E7" s="110" t="n">
        <x:f>COUNTIF('全カード'!$C$2:$C$858,D7)</x:f>
        <x:v>30</x:v>
      </x:c>
      <x:c r="G7" s="18" t="str">
        <x:v>C</x:v>
      </x:c>
      <x:c r="H7" s="110" t="n">
        <x:f>COUNTIF('全カード'!$F$2:$F$858,G7)</x:f>
        <x:v>15</x:v>
      </x:c>
    </x:row>
    <x:row r="8" ht="26" customHeight="1">
      <x:c r="A8" s="18" t="str">
        <x:v>生物</x:v>
      </x:c>
      <x:c r="B8" s="110" t="n">
        <x:f>COUNTIF('全カード'!$B$2:$B$858,A8)</x:f>
        <x:v>174</x:v>
      </x:c>
      <x:c r="D8" s="18" t="str">
        <x:v>小6</x:v>
      </x:c>
      <x:c r="E8" s="110" t="n">
        <x:f>COUNTIF('全カード'!$C$2:$C$858,D8)</x:f>
        <x:v>35</x:v>
      </x:c>
    </x:row>
    <x:row r="9" ht="26" customHeight="1">
      <x:c r="A9" s="18" t="str">
        <x:v>地学</x:v>
      </x:c>
      <x:c r="B9" s="110" t="n">
        <x:f>COUNTIF('全カード'!$B$2:$B$858,A9)</x:f>
        <x:v>177</x:v>
      </x:c>
      <x:c r="D9" s="18" t="str">
        <x:v>中1</x:v>
      </x:c>
      <x:c r="E9" s="110" t="n">
        <x:f>COUNTIF('全カード'!$C$2:$C$858,D9)</x:f>
        <x:v>208</x:v>
      </x:c>
      <x:c r="G9" s="10" t="str">
        <x:v>開始デッキ</x:v>
      </x:c>
      <x:c r="H9" s="11" t="str">
        <x:v>枚数</x:v>
      </x:c>
    </x:row>
    <x:row r="10" ht="26" customHeight="1">
      <x:c r="B10" s="111"/>
      <x:c r="D10" s="18" t="str">
        <x:v>中2</x:v>
      </x:c>
      <x:c r="E10" s="110" t="n">
        <x:f>COUNTIF('全カード'!$C$2:$C$858,D10)</x:f>
        <x:v>243</x:v>
      </x:c>
      <x:c r="G10" s="17" t="str">
        <x:v>最初の150</x:v>
      </x:c>
      <x:c r="H10" s="109" t="n">
        <x:f>COUNT('全カード'!$G$2:$G$858)</x:f>
        <x:v>150</x:v>
      </x:c>
    </x:row>
    <x:row r="11" ht="26" customHeight="1">
      <x:c r="B11" s="111"/>
      <x:c r="D11" s="18" t="str">
        <x:v>中3</x:v>
      </x:c>
      <x:c r="E11" s="110" t="n">
        <x:f>COUNTIF('全カード'!$C$2:$C$858,D11)</x:f>
        <x:v>201</x:v>
      </x:c>
    </x:row>
    <x:row r="12" ht="26" customHeight="1">
      <x:c r="A12" s="10" t="str">
        <x:v>種別</x:v>
      </x:c>
      <x:c r="B12" s="112" t="str">
        <x:v>枚数</x:v>
      </x:c>
      <x:c r="D12" s="18" t="str">
        <x:v>横断</x:v>
      </x:c>
      <x:c r="E12" s="110" t="n">
        <x:f>COUNTIF('全カード'!$C$2:$C$858,D12)</x:f>
        <x:v>91</x:v>
      </x:c>
    </x:row>
    <x:row r="13" ht="26" customHeight="1">
      <x:c r="A13" s="17" t="str">
        <x:v>用語</x:v>
      </x:c>
      <x:c r="B13" s="109" t="n">
        <x:f>COUNTIF('全カード'!$E$2:$E$858,A13)</x:f>
        <x:v>295</x:v>
      </x:c>
    </x:row>
    <x:row r="14" ht="26" customHeight="1">
      <x:c r="A14" s="18" t="str">
        <x:v>因果</x:v>
      </x:c>
      <x:c r="B14" s="110" t="n">
        <x:f>COUNTIF('全カード'!$E$2:$E$858,A14)</x:f>
        <x:v>135</x:v>
      </x:c>
    </x:row>
    <x:row r="15" ht="26" customHeight="1">
      <x:c r="A15" s="18" t="str">
        <x:v>比較</x:v>
      </x:c>
      <x:c r="B15" s="110" t="n">
        <x:f>COUNTIF('全カード'!$E$2:$E$858,A15)</x:f>
        <x:v>119</x:v>
      </x:c>
    </x:row>
    <x:row r="16" ht="26" customHeight="1">
      <x:c r="A16" s="18" t="str">
        <x:v>計算</x:v>
      </x:c>
      <x:c r="B16" s="110" t="n">
        <x:f>COUNTIF('全カード'!$E$2:$E$858,A16)</x:f>
        <x:v>76</x:v>
      </x:c>
    </x:row>
    <x:row r="17" ht="26" customHeight="1">
      <x:c r="A17" s="18" t="str">
        <x:v>実験</x:v>
      </x:c>
      <x:c r="B17" s="110" t="n">
        <x:f>COUNTIF('全カード'!$E$2:$E$858,A17)</x:f>
        <x:v>92</x:v>
      </x:c>
    </x:row>
    <x:row r="18" ht="26" customHeight="1">
      <x:c r="A18" s="18" t="str">
        <x:v>読図</x:v>
      </x:c>
      <x:c r="B18" s="110" t="n">
        <x:f>COUNTIF('全カード'!$E$2:$E$858,A18)</x:f>
        <x:v>78</x:v>
      </x:c>
    </x:row>
    <x:row r="19" ht="26" customHeight="1">
      <x:c r="A19" s="18" t="str">
        <x:v>誤解対策</x:v>
      </x:c>
      <x:c r="B19" s="110" t="n">
        <x:f>COUNTIF('全カード'!$E$2:$E$858,A19)</x:f>
        <x:v>62</x:v>
      </x:c>
    </x:row>
  </x:sheetData>
  <x:mergeCells>
    <x:mergeCell ref="A1:H2"/>
  </x:mergeCells>
  <x:pageMargins left="0.7" right="0.7" top="0.75" bottom="0.75" header="0.3" footer="0.3"/>
</x:worksheet>
</file>